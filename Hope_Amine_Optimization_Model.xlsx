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Baseline" sheetId="3" state="visible" r:id="rId3"/>
    <sheet xmlns:r="http://schemas.openxmlformats.org/officeDocument/2006/relationships" name="Optimized" sheetId="4" state="visible" r:id="rId4"/>
    <sheet xmlns:r="http://schemas.openxmlformats.org/officeDocument/2006/relationships" name="Comparison" sheetId="5" state="visible" r:id="rId5"/>
    <sheet xmlns:r="http://schemas.openxmlformats.org/officeDocument/2006/relationships" name="Sensitivity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\£#,##0"/>
    <numFmt numFmtId="166" formatCode="\£#,##0.00"/>
    <numFmt numFmtId="167" formatCode="0.0000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666666"/>
      <sz val="10"/>
    </font>
    <font>
      <name val="Arial"/>
      <charset val="1"/>
      <family val="0"/>
      <color rgb="FF000000"/>
      <sz val="11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FF"/>
      <sz val="11"/>
    </font>
    <font>
      <name val="Arial"/>
      <charset val="1"/>
      <family val="0"/>
      <color rgb="FF666666"/>
      <sz val="9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i val="1"/>
      <color rgb="FF666666"/>
      <sz val="9"/>
    </font>
    <font>
      <color rgb="000000FF"/>
    </font>
    <font>
      <b val="1"/>
    </font>
    <font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3" fontId="10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top" wrapText="1"/>
    </xf>
    <xf numFmtId="2" fontId="10" fillId="0" borderId="1" applyAlignment="1" pivotButton="0" quotePrefix="0" xfId="0">
      <alignment horizontal="general" vertical="bottom"/>
    </xf>
    <xf numFmtId="2" fontId="7" fillId="4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165" fontId="10" fillId="0" borderId="1" applyAlignment="1" pivotButton="0" quotePrefix="0" xfId="0">
      <alignment horizontal="general" vertical="bottom"/>
    </xf>
    <xf numFmtId="166" fontId="10" fillId="0" borderId="1" applyAlignment="1" pivotButton="0" quotePrefix="0" xfId="0">
      <alignment horizontal="general" vertical="bottom"/>
    </xf>
    <xf numFmtId="1" fontId="10" fillId="0" borderId="1" applyAlignment="1" pivotButton="0" quotePrefix="0" xfId="0">
      <alignment horizontal="general" vertical="bottom"/>
    </xf>
    <xf numFmtId="3" fontId="6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6" fontId="6" fillId="0" borderId="1" applyAlignment="1" pivotButton="0" quotePrefix="0" xfId="0">
      <alignment horizontal="general" vertical="bottom"/>
    </xf>
    <xf numFmtId="166" fontId="7" fillId="4" borderId="1" applyAlignment="1" pivotButton="0" quotePrefix="0" xfId="0">
      <alignment horizontal="general" vertical="bottom"/>
    </xf>
    <xf numFmtId="165" fontId="6" fillId="0" borderId="1" applyAlignment="1" pivotButton="0" quotePrefix="0" xfId="0">
      <alignment horizontal="general" vertical="bottom"/>
    </xf>
    <xf numFmtId="167" fontId="6" fillId="0" borderId="1" applyAlignment="1" pivotButton="0" quotePrefix="0" xfId="0">
      <alignment horizontal="general" vertical="bottom"/>
    </xf>
    <xf numFmtId="2" fontId="6" fillId="0" borderId="1" applyAlignment="1" pivotButton="0" quotePrefix="0" xfId="0">
      <alignment horizontal="general" vertical="bottom"/>
    </xf>
    <xf numFmtId="164" fontId="7" fillId="4" borderId="1" applyAlignment="1" pivotButton="0" quotePrefix="0" xfId="0">
      <alignment horizontal="general" vertical="bottom"/>
    </xf>
    <xf numFmtId="165" fontId="7" fillId="4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165" fontId="8" fillId="2" borderId="0" applyAlignment="1" pivotButton="0" quotePrefix="0" xfId="0">
      <alignment horizontal="general" vertical="bottom"/>
    </xf>
    <xf numFmtId="2" fontId="8" fillId="2" borderId="0" applyAlignment="1" pivotButton="0" quotePrefix="0" xfId="0">
      <alignment horizontal="general" vertical="bottom"/>
    </xf>
    <xf numFmtId="2" fontId="0" fillId="0" borderId="1" applyAlignment="1" pivotButton="0" quotePrefix="0" xfId="0">
      <alignment horizontal="general" vertical="bottom"/>
    </xf>
    <xf numFmtId="166" fontId="8" fillId="2" borderId="0" applyAlignment="1" pivotButton="0" quotePrefix="0" xfId="0">
      <alignment horizontal="general" vertical="bottom"/>
    </xf>
    <xf numFmtId="166" fontId="0" fillId="0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3" fontId="10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top" wrapText="1"/>
    </xf>
    <xf numFmtId="2" fontId="10" fillId="0" borderId="1" applyAlignment="1" pivotButton="0" quotePrefix="0" xfId="0">
      <alignment horizontal="general" vertical="bottom"/>
    </xf>
    <xf numFmtId="2" fontId="7" fillId="4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165" fontId="10" fillId="0" borderId="1" applyAlignment="1" pivotButton="0" quotePrefix="0" xfId="0">
      <alignment horizontal="general" vertical="bottom"/>
    </xf>
    <xf numFmtId="166" fontId="10" fillId="0" borderId="1" applyAlignment="1" pivotButton="0" quotePrefix="0" xfId="0">
      <alignment horizontal="general" vertical="bottom"/>
    </xf>
    <xf numFmtId="1" fontId="10" fillId="0" borderId="1" applyAlignment="1" pivotButton="0" quotePrefix="0" xfId="0">
      <alignment horizontal="general" vertical="bottom"/>
    </xf>
    <xf numFmtId="3" fontId="6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6" fontId="6" fillId="0" borderId="1" applyAlignment="1" pivotButton="0" quotePrefix="0" xfId="0">
      <alignment horizontal="general" vertical="bottom"/>
    </xf>
    <xf numFmtId="166" fontId="7" fillId="4" borderId="1" applyAlignment="1" pivotButton="0" quotePrefix="0" xfId="0">
      <alignment horizontal="general" vertical="bottom"/>
    </xf>
    <xf numFmtId="165" fontId="6" fillId="0" borderId="1" applyAlignment="1" pivotButton="0" quotePrefix="0" xfId="0">
      <alignment horizontal="general" vertical="bottom"/>
    </xf>
    <xf numFmtId="167" fontId="6" fillId="0" borderId="1" applyAlignment="1" pivotButton="0" quotePrefix="0" xfId="0">
      <alignment horizontal="general" vertical="bottom"/>
    </xf>
    <xf numFmtId="2" fontId="6" fillId="0" borderId="1" applyAlignment="1" pivotButton="0" quotePrefix="0" xfId="0">
      <alignment horizontal="general" vertical="bottom"/>
    </xf>
    <xf numFmtId="164" fontId="7" fillId="4" borderId="1" applyAlignment="1" pivotButton="0" quotePrefix="0" xfId="0">
      <alignment horizontal="general" vertical="bottom"/>
    </xf>
    <xf numFmtId="165" fontId="7" fillId="4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165" fontId="8" fillId="2" borderId="0" applyAlignment="1" pivotButton="0" quotePrefix="0" xfId="0">
      <alignment horizontal="general" vertical="bottom"/>
    </xf>
    <xf numFmtId="2" fontId="8" fillId="2" borderId="0" applyAlignment="1" pivotButton="0" quotePrefix="0" xfId="0">
      <alignment horizontal="general" vertical="bottom"/>
    </xf>
    <xf numFmtId="2" fontId="0" fillId="0" borderId="1" applyAlignment="1" pivotButton="0" quotePrefix="0" xfId="0">
      <alignment horizontal="general" vertical="bottom"/>
    </xf>
    <xf numFmtId="166" fontId="8" fillId="2" borderId="0" applyAlignment="1" pivotButton="0" quotePrefix="0" xfId="0">
      <alignment horizontal="general" vertical="bottom"/>
    </xf>
    <xf numFmtId="166" fontId="0" fillId="0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 wrapText="1"/>
    </xf>
    <xf numFmtId="166" fontId="16" fillId="0" borderId="1" applyAlignment="1" pivotButton="0" quotePrefix="0" xfId="0">
      <alignment horizontal="general" vertical="bottom"/>
    </xf>
    <xf numFmtId="165" fontId="16" fillId="0" borderId="1" applyAlignment="1" pivotButton="0" quotePrefix="0" xfId="0">
      <alignment horizontal="general" vertical="bottom"/>
    </xf>
    <xf numFmtId="0" fontId="17" fillId="0" borderId="0" pivotButton="0" quotePrefix="0" xfId="0"/>
    <xf numFmtId="0" fontId="18" fillId="0" borderId="0" pivotButton="0" quotePrefix="0" xfId="0"/>
    <xf numFmtId="10" fontId="0" fillId="0" borderId="0" pivotButton="0" quotePrefix="0" xfId="0"/>
    <xf numFmtId="9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All-in levelized cost: £/tonne CO2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Comparison!$A$7:$A$8</f>
              <strCache>
                <ptCount val="2"/>
                <pt idx="0">
                  <v>Baseline (amine as-planned) — all-in £/t</v>
                </pt>
                <pt idx="1">
                  <v>Optimized (+ WHR/De-SOx/BESS) — all-in £/t</v>
                </pt>
              </strCache>
            </strRef>
          </cat>
          <val>
            <numRef>
              <f>Comparison!$B$7:$B$8</f>
              <numCache>
                <formatCode>\£#,##0.00</formatCode>
                <ptCount val="2"/>
                <pt idx="0">
                  <v>94.1417855381092</v>
                </pt>
                <pt idx="1">
                  <v>83.8563741084416</v>
                </pt>
              </numCache>
            </numRef>
          </val>
        </ser>
        <gapWidth val="150"/>
        <overlap val="0"/>
        <axId val="8125632"/>
        <axId val="20453088"/>
      </barChart>
      <catAx>
        <axId val="81256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20453088"/>
        <crosses val="autoZero"/>
        <auto val="1"/>
        <lblAlgn val="ctr"/>
        <lblOffset val="100"/>
        <noMultiLvlLbl val="0"/>
      </catAx>
      <valAx>
        <axId val="2045308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£ / tonne CO2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£#,##0.0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8125632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5</col>
      <colOff>0</colOff>
      <row>5</row>
      <rowOff>0</rowOff>
    </from>
    <to>
      <col>13</col>
      <colOff>147600</colOff>
      <row>22</row>
      <rowOff>1080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5" customWidth="1" style="34" min="1" max="1"/>
  </cols>
  <sheetData>
    <row r="1" ht="17.35" customHeight="1" s="35">
      <c r="A1" s="36" t="inlineStr">
        <is>
          <t>Hope Cement Works — Amine Optimization &amp; WHR Integration Model</t>
        </is>
      </c>
    </row>
    <row r="2" ht="15" customHeight="1" s="35">
      <c r="A2" s="37" t="inlineStr">
        <is>
          <t>v2 — supersedes the earlier oxy-fuel-vs-amine comparison after confirming Breedon's own stated technology choice</t>
        </is>
      </c>
    </row>
    <row r="5" ht="15" customHeight="1" s="35">
      <c r="A5" s="38" t="inlineStr">
        <is>
          <t>WHAT CHANGED FROM v1</t>
        </is>
      </c>
    </row>
    <row r="6" ht="27.75" customHeight="1" s="35">
      <c r="A6" s="38" t="inlineStr">
        <is>
          <t>Breedon publicly stated (March 2025 community meeting) that amine scrubbing is "closest to realisation" for Hope, with disclosed internal estimates of ~£400M for capture and ~£300M for pipeline transport. Source: hopevalleyclimateaction.org.uk. Separately, an EA permit decision document confirms Hope's two kilns were installed in the early 1970s with a multistage cyclone preheater but NO CALCINER — a materially harder oxy-fuel retrofit case than the modern-precalciner literature (CEMCAP etc.) assumes, since there's no separate calciner vessel to convert; you'd be converting the main kiln burner flame itself.</t>
        </is>
      </c>
    </row>
    <row r="8" ht="27.75" customHeight="1" s="35">
      <c r="A8" s="38" t="inlineStr">
        <is>
          <t>v1 compared amine vs. oxy-fuel as ALTERNATIVE capture technologies. That framing fights Breedon's own £400M decision. v2 instead treats the amine plant as a given and asks: what's the smallest capital add-on that meaningfully cuts its operating cost? Both Baseline and Optimized below include the SAME £400M amine plant — the comparison is the incremental value of the add-on package.</t>
        </is>
      </c>
    </row>
    <row r="10" ht="15" customHeight="1" s="35">
      <c r="A10" s="38" t="inlineStr">
        <is>
          <t>THE ADD-ON PACKAGE (Optimized case)</t>
        </is>
      </c>
    </row>
    <row r="11" ht="27.75" customHeight="1" s="35">
      <c r="A11" s="38" t="inlineStr">
        <is>
          <t>1. WHR thermal integration: route kiln waste heat DIRECTLY to the amine reboiler's steam demand (not through an ORC turbine to electricity — direct thermal use avoids the ~80% conversion loss an ORC would impose, and reboiler duty is exactly the kind of low-grade heat load kiln waste heat is good for).</t>
        </is>
      </c>
    </row>
    <row r="12" ht="27.75" customHeight="1" s="35">
      <c r="A12" s="38" t="inlineStr">
        <is>
          <t>2. De-SOx pretreatment: Hope's local shale has unusually high pyritic sulphur (confirmed in the EA permit — SOx emission limits well above the normal BAT-AEL range). SO2 reacts irreversibly with amine solvent, forming heat-stable salts that degrade it — a real, sourced OpEx risk for the £400M asset. A pretreatment step protects the solvent.</t>
        </is>
      </c>
    </row>
    <row r="13" ht="27.75" customHeight="1" s="35">
      <c r="A13" s="38" t="inlineStr">
        <is>
          <t>3. BESS: buffers the compression load feeding the Peak Cluster pipeline connection, same grid-queue-avoidance logic as v1.</t>
        </is>
      </c>
    </row>
    <row r="15" ht="15" customHeight="1" s="35">
      <c r="A15" s="39" t="inlineStr">
        <is>
          <t>CONFIDENCE LEVELS</t>
        </is>
      </c>
    </row>
    <row r="16" ht="27.75" customHeight="1" s="35">
      <c r="A16" s="38" t="inlineStr">
        <is>
          <t>HIGH: amine capex (£333/tpa, matches Breedon's disclosed £400M almost exactly), reboiler duty, compression energy, UK ETS price.</t>
        </is>
      </c>
    </row>
    <row r="17" ht="27.75" customHeight="1" s="35">
      <c r="A17" s="38" t="inlineStr">
        <is>
          <t>MEDIUM: specific heat consumption for a 1970s preheater-no-calciner kiln (3.3-4.2 GJ/t range, cement engineering literature), waste heat recoverable fraction, heat transfer efficiency.</t>
        </is>
      </c>
    </row>
    <row r="18" ht="27.75" customHeight="1" s="35">
      <c r="A18" s="38" t="inlineStr">
        <is>
          <t>LOW / PLACEHOLDER — needs vendor quotes before this goes to Breedon: De-SOx pretreatment capex/opex, WHR thermal-integration capex (heat exchangers/ducting — no ASU or ORC equipment needed this time, so it should be cheaper than v1's oxy-fuel capex line, but no public benchmark exists), amine solvent-degradation cost differential (unmitigated vs. protected).</t>
        </is>
      </c>
    </row>
    <row r="20" ht="15" customHeight="1" s="35">
      <c r="A20" s="38" t="inlineStr">
        <is>
          <t>WHY THIS IS A BETTER PITCH THAN v1</t>
        </is>
      </c>
    </row>
    <row r="21" ht="27.75" customHeight="1" s="35">
      <c r="A21" s="38" t="inlineStr">
        <is>
          <t>Incremental capex (~£61M) against incremental annual opex savings (~£18.5M/yr) gives a ~3.3 year simple payback — a normal, fundable industrial capital project, not a bet-the-technology pivot. It works WITH Breedon's own £400M decision rather than against it.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6" customWidth="1" style="34" min="1" max="1"/>
    <col width="14" customWidth="1" style="34" min="2" max="2"/>
    <col width="16" customWidth="1" style="34" min="3" max="3"/>
    <col width="72" customWidth="1" style="34" min="4" max="4"/>
  </cols>
  <sheetData>
    <row r="1" ht="17.35" customHeight="1" s="35">
      <c r="A1" s="36" t="inlineStr">
        <is>
          <t>Assumptions</t>
        </is>
      </c>
    </row>
    <row r="2" ht="15" customHeight="1" s="35">
      <c r="A2" s="37" t="inlineStr">
        <is>
          <t>Edit only the blue values. Kiln thermal rating is now a FORMULA (clinker tonnage x specific heat / operating hours), not a fixed guess.</t>
        </is>
      </c>
    </row>
    <row r="4" ht="15" customHeight="1" s="35">
      <c r="A4" s="40" t="inlineStr">
        <is>
          <t>Parameter</t>
        </is>
      </c>
      <c r="B4" s="40" t="inlineStr">
        <is>
          <t>Value</t>
        </is>
      </c>
      <c r="C4" s="40" t="inlineStr">
        <is>
          <t>Unit</t>
        </is>
      </c>
      <c r="D4" s="40" t="inlineStr">
        <is>
          <t>Source / Confidence</t>
        </is>
      </c>
    </row>
    <row r="6" ht="15" customHeight="1" s="35">
      <c r="A6" s="41" t="inlineStr">
        <is>
          <t>SITE &amp; TARGET</t>
        </is>
      </c>
      <c r="B6" s="42" t="n"/>
      <c r="C6" s="42" t="n"/>
      <c r="D6" s="42" t="n"/>
    </row>
    <row r="7" ht="15" customHeight="1" s="35">
      <c r="A7" s="43" t="inlineStr">
        <is>
          <t>Annual clinker production</t>
        </is>
      </c>
      <c r="B7" s="44" t="n">
        <v>1250000</v>
      </c>
      <c r="C7" s="43" t="inlineStr">
        <is>
          <t>t/yr</t>
        </is>
      </c>
      <c r="D7" s="45" t="inlineStr">
        <is>
          <t>MEDIUM — estimated from 1.5Mt/yr cement capacity x ~0.85 clinker:cement ratio (UK typical)</t>
        </is>
      </c>
    </row>
    <row r="8" ht="22.35" customHeight="1" s="35">
      <c r="A8" s="43" t="inlineStr">
        <is>
          <t>Specific heat consumption</t>
        </is>
      </c>
      <c r="B8" s="46" t="n">
        <v>3.8</v>
      </c>
      <c r="C8" s="43" t="inlineStr">
        <is>
          <t>GJ/t clinker</t>
        </is>
      </c>
      <c r="D8" s="45" t="inlineStr">
        <is>
          <t>MEDIUM — 1970s preheater-only kiln, NO calciner (EA permit decision doc). Range 3.3-4.2 GJ/t for this kiln type; modern precalciner kilns run 2.9-3.3</t>
        </is>
      </c>
    </row>
    <row r="9" ht="15" customHeight="1" s="35">
      <c r="A9" s="43" t="inlineStr">
        <is>
          <t>Kiln operating hours</t>
        </is>
      </c>
      <c r="B9" s="44" t="n">
        <v>8000</v>
      </c>
      <c r="C9" s="43" t="inlineStr">
        <is>
          <t>hrs/yr</t>
        </is>
      </c>
      <c r="D9" s="45" t="inlineStr">
        <is>
          <t>Typical continuous kiln operation (~91% capacity factor)</t>
        </is>
      </c>
    </row>
    <row r="10" ht="22.35" customHeight="1" s="35">
      <c r="A10" s="43" t="inlineStr">
        <is>
          <t>Kiln thermal rating (DERIVED)</t>
        </is>
      </c>
      <c r="B10" s="47">
        <f>(B7*B8*1000000000)/(B9*3600)/1000000</f>
        <v/>
      </c>
      <c r="C10" s="43" t="inlineStr">
        <is>
          <t>MWth</t>
        </is>
      </c>
      <c r="D10" s="45" t="inlineStr">
        <is>
          <t>Formula: clinker t/yr x GJ/t clinker / operating seconds, converted to MW. Not a published nameplate figure — recompute if you get a real one from Breedon.</t>
        </is>
      </c>
    </row>
    <row r="11" ht="22.35" customHeight="1" s="35">
      <c r="A11" s="43" t="inlineStr">
        <is>
          <t>Target annual CO2 to pipeline</t>
        </is>
      </c>
      <c r="B11" s="44" t="n">
        <v>1200000</v>
      </c>
      <c r="C11" s="43" t="inlineStr">
        <is>
          <t>t/yr</t>
        </is>
      </c>
      <c r="D11" s="45" t="inlineStr">
        <is>
          <t>HIGH — Hope Valley Climate Action: Hope is "by far the largest emitter of greenhouse gases in the Hope Valley", ~1.2Mt CO2/yr</t>
        </is>
      </c>
    </row>
    <row r="12" ht="15" customHeight="1" s="35">
      <c r="A12" s="43" t="inlineStr">
        <is>
          <t>Baseline flue gas CO2 concentration</t>
        </is>
      </c>
      <c r="B12" s="48" t="n">
        <v>0.2</v>
      </c>
      <c r="C12" s="43" t="inlineStr">
        <is>
          <t>%</t>
        </is>
      </c>
      <c r="D12" s="45" t="inlineStr">
        <is>
          <t>Sourcing-table proxy for cement kilns (18-22%)</t>
        </is>
      </c>
    </row>
    <row r="13" ht="15" customHeight="1" s="35">
      <c r="A13" s="43" t="inlineStr">
        <is>
          <t>Reference CO2% used to scale amine energy penalty</t>
        </is>
      </c>
      <c r="B13" s="48" t="n">
        <v>0.2</v>
      </c>
      <c r="C13" s="43" t="inlineStr">
        <is>
          <t>%</t>
        </is>
      </c>
      <c r="D13" s="45" t="inlineStr">
        <is>
          <t>Modelling reference point</t>
        </is>
      </c>
    </row>
    <row r="15" ht="15" customHeight="1" s="35">
      <c r="A15" s="41" t="inlineStr">
        <is>
          <t>PRICES</t>
        </is>
      </c>
      <c r="B15" s="42" t="n"/>
      <c r="C15" s="42" t="n"/>
      <c r="D15" s="42" t="n"/>
    </row>
    <row r="16" ht="15" customHeight="1" s="35">
      <c r="A16" s="43" t="inlineStr">
        <is>
          <t>Grid electricity tariff</t>
        </is>
      </c>
      <c r="B16" s="49" t="n">
        <v>105</v>
      </c>
      <c r="C16" s="43" t="inlineStr">
        <is>
          <t>£/MWh</t>
        </is>
      </c>
      <c r="D16" s="45" t="inlineStr">
        <is>
          <t>MEDIUM — DESNZ/Ofgem-informed range for large industrial users, £85-140</t>
        </is>
      </c>
    </row>
    <row r="17" ht="15" customHeight="1" s="35">
      <c r="A17" s="43" t="inlineStr">
        <is>
          <t>Thermal (steam) energy cost, purchased</t>
        </is>
      </c>
      <c r="B17" s="49" t="n">
        <v>35</v>
      </c>
      <c r="C17" s="43" t="inlineStr">
        <is>
          <t>£/MWh-th</t>
        </is>
      </c>
      <c r="D17" s="45" t="inlineStr">
        <is>
          <t>MEDIUM — placeholder gas-fired steam cost</t>
        </is>
      </c>
    </row>
    <row r="18" ht="15" customHeight="1" s="35">
      <c r="A18" s="43" t="inlineStr">
        <is>
          <t>UK ETS price (2026 civil penalty rate)</t>
        </is>
      </c>
      <c r="B18" s="50" t="n">
        <v>49.41</v>
      </c>
      <c r="C18" s="43" t="inlineStr">
        <is>
          <t>£/t CO2</t>
        </is>
      </c>
      <c r="D18" s="45" t="inlineStr">
        <is>
          <t>HIGH — UK ETS Authority 2026 published rate</t>
        </is>
      </c>
    </row>
    <row r="20" ht="15" customHeight="1" s="35">
      <c r="A20" s="41" t="inlineStr">
        <is>
          <t>FINANCE</t>
        </is>
      </c>
      <c r="B20" s="42" t="n"/>
      <c r="C20" s="42" t="n"/>
      <c r="D20" s="42" t="n"/>
    </row>
    <row r="21" ht="15" customHeight="1" s="35">
      <c r="A21" s="43" t="inlineStr">
        <is>
          <t>Discount rate</t>
        </is>
      </c>
      <c r="B21" s="48" t="n">
        <v>0.08</v>
      </c>
      <c r="C21" s="43" t="inlineStr">
        <is>
          <t>%</t>
        </is>
      </c>
      <c r="D21" s="45" t="inlineStr">
        <is>
          <t>Placeholder WACC</t>
        </is>
      </c>
    </row>
    <row r="22" ht="15" customHeight="1" s="35">
      <c r="A22" s="43" t="inlineStr">
        <is>
          <t>Plant/asset life</t>
        </is>
      </c>
      <c r="B22" s="51" t="n">
        <v>20</v>
      </c>
      <c r="C22" s="43" t="inlineStr">
        <is>
          <t>years</t>
        </is>
      </c>
      <c r="D22" s="45" t="inlineStr">
        <is>
          <t>Typical industrial capital asset life</t>
        </is>
      </c>
    </row>
    <row r="24" ht="15" customHeight="1" s="35">
      <c r="A24" s="41" t="inlineStr">
        <is>
          <t>SHARED — CO2 COMPRESSION</t>
        </is>
      </c>
      <c r="B24" s="42" t="n"/>
      <c r="C24" s="42" t="n"/>
      <c r="D24" s="42" t="n"/>
    </row>
    <row r="25" ht="15" customHeight="1" s="35">
      <c r="A25" s="43" t="inlineStr">
        <is>
          <t>Compression energy to pipeline spec</t>
        </is>
      </c>
      <c r="B25" s="44" t="n">
        <v>105</v>
      </c>
      <c r="C25" s="43" t="inlineStr">
        <is>
          <t>kWh/t CO2</t>
        </is>
      </c>
      <c r="D25" s="45" t="inlineStr">
        <is>
          <t>HIGH — standard CCS benchmark, 90-120 kWh/t</t>
        </is>
      </c>
    </row>
    <row r="27" ht="15" customHeight="1" s="35">
      <c r="A27" s="41" t="inlineStr">
        <is>
          <t>AMINE PLANT (shared by both cases — Breedon's £400M plan)</t>
        </is>
      </c>
      <c r="B27" s="42" t="n"/>
      <c r="C27" s="42" t="n"/>
      <c r="D27" s="42" t="n"/>
    </row>
    <row r="28" ht="22.35" customHeight="1" s="35">
      <c r="A28" s="43" t="inlineStr">
        <is>
          <t>Amine plant capex</t>
        </is>
      </c>
      <c r="B28" s="49" t="n">
        <v>333</v>
      </c>
      <c r="C28" s="43" t="inlineStr">
        <is>
          <t>£/tpa capacity</t>
        </is>
      </c>
      <c r="D28" s="45" t="inlineStr">
        <is>
          <t>HIGH — matches Breedon's disclosed ~£400M for Hope almost exactly (£333/tpa x 1.2Mt = £399.6M)</t>
        </is>
      </c>
    </row>
    <row r="29" ht="15" customHeight="1" s="35">
      <c r="A29" s="43" t="inlineStr">
        <is>
          <t>Amine reboiler (thermal) duty, at reference CO2%</t>
        </is>
      </c>
      <c r="B29" s="44" t="n">
        <v>900</v>
      </c>
      <c r="C29" s="43" t="inlineStr">
        <is>
          <t>kWh-th/t CO2</t>
        </is>
      </c>
      <c r="D29" s="45" t="inlineStr">
        <is>
          <t>HIGH — typical MEA ~3.0-3.5 GJ/t CO2</t>
        </is>
      </c>
    </row>
    <row r="30" ht="15" customHeight="1" s="35">
      <c r="A30" s="43" t="inlineStr">
        <is>
          <t>Amine electrical auxiliary load</t>
        </is>
      </c>
      <c r="B30" s="44" t="n">
        <v>40</v>
      </c>
      <c r="C30" s="43" t="inlineStr">
        <is>
          <t>kWh/t CO2</t>
        </is>
      </c>
      <c r="D30" s="45" t="inlineStr">
        <is>
          <t>HIGH — typical amine plant benchmark</t>
        </is>
      </c>
    </row>
    <row r="32" ht="15" customHeight="1" s="35">
      <c r="A32" s="41" t="inlineStr">
        <is>
          <t>BASELINE-ONLY — UNMITIGATED SOx RISK</t>
        </is>
      </c>
      <c r="B32" s="42" t="n"/>
      <c r="C32" s="42" t="n"/>
      <c r="D32" s="42" t="n"/>
    </row>
    <row r="33" ht="32.8" customHeight="1" s="35">
      <c r="A33" s="43" t="inlineStr">
        <is>
          <t>Baseline-only opex — SOx degradation risk (D), coupled point estimate</t>
        </is>
      </c>
      <c r="B33" s="69" t="n">
        <v>3.28</v>
      </c>
      <c r="C33" s="43" t="inlineStr">
        <is>
          <t>£/t CO2</t>
        </is>
      </c>
      <c r="D33" s="45" t="inlineStr">
        <is>
          <t>LOW/placeholder — midpoint of £12-15/t range; SO2 forms heat-stable salts with amine solvent, spiking makeup/replacement cost. Hope's local pyritic shale gives elevated SOx (confirmed in EA permit)</t>
        </is>
      </c>
    </row>
    <row r="35" ht="15" customHeight="1" s="35">
      <c r="A35" s="41" t="inlineStr">
        <is>
          <t>OPTIMIZED-ONLY — ADD-ON PACKAGE</t>
        </is>
      </c>
      <c r="B35" s="42" t="n"/>
      <c r="C35" s="42" t="n"/>
      <c r="D35" s="42" t="n"/>
    </row>
    <row r="36" ht="22.35" customHeight="1" s="35">
      <c r="A36" s="43" t="inlineStr">
        <is>
          <t>Amine non-energy opex, PROTECTED (with De-SOx pretreatment)</t>
        </is>
      </c>
      <c r="B36" s="50" t="n">
        <v>8</v>
      </c>
      <c r="C36" s="43" t="inlineStr">
        <is>
          <t>£/t CO2</t>
        </is>
      </c>
      <c r="D36" s="45" t="inlineStr">
        <is>
          <t>Same clean-solvent rate as v1's original placeholder — applies once pretreatment removes the SOx threat</t>
        </is>
      </c>
    </row>
    <row r="37" ht="22.35" customHeight="1" s="35">
      <c r="A37" s="43" t="inlineStr">
        <is>
          <t>De-SOx incremental capex, CENTRAL CASE (standard pretreatment assumed inside £400M baseline)</t>
        </is>
      </c>
      <c r="B37" s="70" t="n">
        <v>0</v>
      </c>
      <c r="C37" s="43" t="inlineStr">
        <is>
          <t>£/tpa CO2 capacity</t>
        </is>
      </c>
      <c r="D37" s="45" t="inlineStr">
        <is>
          <t>LOW/placeholder — no public benchmark found; needs vendor quote. Likely a polishing/cooling step, not full FGD, since kiln already has some SOx control</t>
        </is>
      </c>
    </row>
    <row r="38" ht="15" customHeight="1" s="35">
      <c r="A38" s="43" t="inlineStr">
        <is>
          <t>De-SOx protection opex (P), coupled point estimate — NaOH + Na2SO4 waste + 15% uplift</t>
        </is>
      </c>
      <c r="B38" s="69" t="n">
        <v>1.19</v>
      </c>
      <c r="C38" s="43" t="inlineStr">
        <is>
          <t>£/t CO2</t>
        </is>
      </c>
      <c r="D38" s="45" t="inlineStr">
        <is>
          <t>LOW/placeholder — reagent + maintenance</t>
        </is>
      </c>
    </row>
    <row r="39" ht="15" customHeight="1" s="35">
      <c r="A39" s="43" t="inlineStr">
        <is>
          <t>Recoverable waste heat</t>
        </is>
      </c>
      <c r="B39" s="48" t="n">
        <v>0.35</v>
      </c>
      <c r="C39" s="43" t="inlineStr">
        <is>
          <t>% of kiln thermal input</t>
        </is>
      </c>
      <c r="D39" s="45" t="inlineStr">
        <is>
          <t>MEDIUM — cement industry reports 30-40% of kiln/clinker-cooler heat wasted</t>
        </is>
      </c>
    </row>
    <row r="40" ht="22.35" customHeight="1" s="35">
      <c r="A40" s="43" t="inlineStr">
        <is>
          <t>Heat transfer efficiency (recovered heat -&gt; usable reboiler steam)</t>
        </is>
      </c>
      <c r="B40" s="48" t="n">
        <v>0.85</v>
      </c>
      <c r="C40" s="43" t="inlineStr">
        <is>
          <t>%</t>
        </is>
      </c>
      <c r="D40" s="45" t="inlineStr">
        <is>
          <t>MEDIUM/placeholder — heat exchanger losses and temperature/quality matching; not all recovered heat is usable as reboiler-grade steam</t>
        </is>
      </c>
    </row>
    <row r="41" ht="22.35" customHeight="1" s="35">
      <c r="A41" s="43" t="inlineStr">
        <is>
          <t>WHR thermal-integration capex</t>
        </is>
      </c>
      <c r="B41" s="49" t="n">
        <v>99600</v>
      </c>
      <c r="C41" s="43" t="inlineStr">
        <is>
          <t>£/MWth recoverable</t>
        </is>
      </c>
      <c r="D41" s="45" t="inlineStr">
        <is>
          <t>MEDIUM-HIGH — Biermann, Anantharaman &amp; Harvey, Table B1/B2 cement case studies (9 variants), correctly de-annualized using the PAPER'S OWN stated assumptions (7.5% interest rate, 25yr lifetime, 8000 op-hrs/yr — confirmed in their published assumptions table; op-hrs matches this model's own assumption independently). Adjusted 2016-&gt;2026 EUR terms using Eurostat EU HICP cumulative inflation (+33.0% to 2025, Eurostat, plus ~2026 partial year). EUR-&gt;GBP at flat 0.80 (not inflation-adjusted separately - a further refinement opportunity). Their case studies are 13-14 MWth vs Hope's ~58 MWth recoverable - untested scale-economy extrapolation remains the main residual uncertainty. Range across 9 variants, 2026 terms: £73,800-£141,700/MWth.</t>
        </is>
      </c>
    </row>
    <row r="42" ht="15" customHeight="1" s="35">
      <c r="A42" s="43" t="inlineStr">
        <is>
          <t>BESS capex</t>
        </is>
      </c>
      <c r="B42" s="49" t="n">
        <v>280</v>
      </c>
      <c r="C42" s="43" t="inlineStr">
        <is>
          <t>£/kWh installed</t>
        </is>
      </c>
      <c r="D42" s="45" t="inlineStr">
        <is>
          <t>MEDIUM — UK commercial/industrial BESS range £200-450/kWh</t>
        </is>
      </c>
    </row>
    <row r="43" ht="15" customHeight="1" s="35">
      <c r="A43" s="43" t="inlineStr">
        <is>
          <t>BESS power rating</t>
        </is>
      </c>
      <c r="B43" s="46" t="n">
        <v>10</v>
      </c>
      <c r="C43" s="43" t="inlineStr">
        <is>
          <t>MW</t>
        </is>
      </c>
      <c r="D43" s="45" t="inlineStr">
        <is>
          <t>User input — sized to buffer compression peak load</t>
        </is>
      </c>
    </row>
    <row r="44" ht="15" customHeight="1" s="35">
      <c r="A44" s="43" t="inlineStr">
        <is>
          <t>BESS duration</t>
        </is>
      </c>
      <c r="B44" s="46" t="n">
        <v>4</v>
      </c>
      <c r="C44" s="43" t="inlineStr">
        <is>
          <t>hours</t>
        </is>
      </c>
      <c r="D44" s="45" t="inlineStr">
        <is>
          <t>User input</t>
        </is>
      </c>
    </row>
    <row r="45" ht="15" customHeight="1" s="35">
      <c r="A45" s="43" t="inlineStr">
        <is>
          <t>Avoided/delayed grid-reinforcement value</t>
        </is>
      </c>
      <c r="B45" s="49" t="n">
        <v>3000000</v>
      </c>
      <c r="C45" s="43" t="inlineStr">
        <is>
          <t>£</t>
        </is>
      </c>
      <c r="D45" s="45" t="inlineStr">
        <is>
          <t>LOW/placeholder — needs DNO quote</t>
        </is>
      </c>
    </row>
    <row r="47">
      <c r="A47" s="71" t="inlineStr">
        <is>
          <t>DE-SOX METHODOLOGY MEMO (Aug 2026 v4) — see Monte Carlo notebook Section 2b for full derivation</t>
        </is>
      </c>
    </row>
    <row r="48">
      <c r="A48" s="72" t="inlineStr">
        <is>
          <t>Source: Hope Cement Works EA Decision Document (2017, gov.uk, permit EPR/BP3731VJ)</t>
        </is>
      </c>
    </row>
    <row r="49">
      <c r="A49" s="72" t="inlineStr">
        <is>
          <t>Point estimates above use inlet SOx = 700 mg/Nm3 (confirmed actual 2017 operating midpoint, 600-800mg/Nm3 band, reported as 2,030 t SO2/yr)</t>
        </is>
      </c>
    </row>
    <row r="50">
      <c r="A50" s="72" t="inlineStr">
        <is>
          <t>Outlet target = 28.55 mg/Nm3 (10 ppmv, generic amine tolerance incl. Fluor/MHI/Aker)</t>
        </is>
      </c>
    </row>
    <row r="51">
      <c r="A51" s="72" t="inlineStr">
        <is>
          <t>D = P x M, M = 2.75 point estimate (mid of Uniform(1.5,4) judgment range; anchored to Chapel(1999)/TERC-Sheffield 10ppmv breakeven where D=P)</t>
        </is>
      </c>
    </row>
    <row r="53">
      <c r="A53" s="71" t="inlineStr">
        <is>
          <t>MEMO ONLY (not added to any capex line) — CEMCAP-derived standard DCC/pretreatment</t>
        </is>
      </c>
    </row>
    <row r="54">
      <c r="A54" s="34" t="inlineStr">
        <is>
          <t>Value</t>
        </is>
      </c>
      <c r="B54" s="34" t="n">
        <v>4900000</v>
      </c>
      <c r="C54" s="34" t="inlineStr">
        <is>
          <t>£, 2025 terms</t>
        </is>
      </c>
    </row>
    <row r="55">
      <c r="A55" s="34" t="inlineStr">
        <is>
          <t>As % of £399.6M baseline</t>
        </is>
      </c>
      <c r="B55" s="73">
        <f>B49/(Assumptions!$B$28*Assumptions!$B$11)</f>
        <v/>
      </c>
      <c r="C55" s="34" t="inlineStr">
        <is>
          <t>%</t>
        </is>
      </c>
    </row>
    <row r="56">
      <c r="A56" s="72" t="inlineStr">
        <is>
          <t>Source: CEMCAP Table S1 (Voldsund/Gardarsdottir 2019, Energies), column+cooler+pump, 0.65-exponent scaled to Hope, inflated 2014-2025 EUR, converted @ 0.80 EUR/GBP</t>
        </is>
      </c>
    </row>
    <row r="57">
      <c r="A57" s="72" t="inlineStr">
        <is>
          <t>Not additive: standard flue-gas pretreatment/cooling is required by any amine plant and is assumed already inside the £399.6M baseline (Breedon's own disclosed figure; confirmed by real Aker PFD for Hope showing DCC/X-001/X-005 as integral to the capture concept, HVCA Aug 2024)</t>
        </is>
      </c>
    </row>
    <row r="59">
      <c r="A59" s="71" t="inlineStr">
        <is>
          <t>DOWNSIDE SCENARIO (not central case) — standalone SOx polisher / wet FGD required</t>
        </is>
      </c>
    </row>
    <row r="60">
      <c r="A60" s="34" t="inlineStr">
        <is>
          <t>Probability (engineering judgment, not sourced)</t>
        </is>
      </c>
      <c r="B60" s="74" t="n">
        <v>0.1</v>
      </c>
      <c r="C60" s="34" t="inlineStr">
        <is>
          <t>%</t>
        </is>
      </c>
    </row>
    <row r="61">
      <c r="A61" s="34" t="inlineStr">
        <is>
          <t>Conditional capex if triggered (was the old always-on De-SOx capex placeholder)</t>
        </is>
      </c>
      <c r="B61" s="34" t="inlineStr">
        <is>
          <t>10-25</t>
        </is>
      </c>
      <c r="C61" s="34" t="inlineStr">
        <is>
          <t>£/tpa CO2 capacity</t>
        </is>
      </c>
    </row>
    <row r="62">
      <c r="A62" s="72" t="inlineStr">
        <is>
          <t>Reclassified from a continuous central-case add-on; see Monte Carlo notebook for the discrete-event treatment (Bernoulli trial, not smeared across all draws)</t>
        </is>
      </c>
    </row>
    <row r="63">
      <c r="A63" s="72" t="inlineStr">
        <is>
          <t>Context: a standalone whole-kiln wet FGD scrubber was formally evaluated for Hope and REJECTED as disproportionately costly (NPV -£30.7M to -£37.2M, EA damage-cost CBA) vs. the £1.35M/£40k-opex PFA-substitution route actually chosen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0" customWidth="1" style="34" min="1" max="1"/>
    <col width="18" customWidth="1" style="34" min="2" max="2"/>
    <col width="14" customWidth="1" style="34" min="3" max="3"/>
    <col width="58" customWidth="1" style="34" min="4" max="4"/>
  </cols>
  <sheetData>
    <row r="1" ht="17.35" customHeight="1" s="35">
      <c r="A1" s="36" t="inlineStr">
        <is>
          <t>Baseline — Amine As-Planned (Breedon's £400M plan)</t>
        </is>
      </c>
    </row>
    <row r="2" ht="15" customHeight="1" s="35">
      <c r="A2" s="37" t="inlineStr">
        <is>
          <t>No WHR integration, no De-SOx pretreatment — unmitigated pyritic-sulphur solvent degradation risk.</t>
        </is>
      </c>
    </row>
    <row r="4" ht="15" customHeight="1" s="35">
      <c r="A4" s="40" t="inlineStr">
        <is>
          <t>Metric</t>
        </is>
      </c>
      <c r="B4" s="40" t="inlineStr">
        <is>
          <t>Value</t>
        </is>
      </c>
      <c r="C4" s="40" t="inlineStr">
        <is>
          <t>Unit</t>
        </is>
      </c>
      <c r="D4" s="40" t="inlineStr">
        <is>
          <t>Note</t>
        </is>
      </c>
    </row>
    <row r="6" ht="15" customHeight="1" s="35">
      <c r="A6" s="43" t="inlineStr">
        <is>
          <t>Annual CO2 volume</t>
        </is>
      </c>
      <c r="B6" s="52">
        <f>Assumptions!$B$11</f>
        <v/>
      </c>
      <c r="C6" s="43" t="inlineStr">
        <is>
          <t>t/yr</t>
        </is>
      </c>
      <c r="D6" s="53" t="n"/>
    </row>
    <row r="7" ht="15" customHeight="1" s="35">
      <c r="A7" s="43" t="inlineStr">
        <is>
          <t>Amine reboiler duty, adjusted for actual flue gas CO2%</t>
        </is>
      </c>
      <c r="B7" s="52">
        <f>Assumptions!$B$29*(Assumptions!$B$13/Assumptions!$B$12)</f>
        <v/>
      </c>
      <c r="C7" s="43" t="inlineStr">
        <is>
          <t>kWh-th/t CO2</t>
        </is>
      </c>
      <c r="D7" s="53" t="n"/>
    </row>
    <row r="8" ht="15" customHeight="1" s="35">
      <c r="A8" s="43" t="inlineStr">
        <is>
          <t>Thermal energy cost (fully purchased — no WHR offset)</t>
        </is>
      </c>
      <c r="B8" s="54">
        <f>B7*Assumptions!$B$17/1000</f>
        <v/>
      </c>
      <c r="C8" s="43" t="inlineStr">
        <is>
          <t>£/t CO2</t>
        </is>
      </c>
      <c r="D8" s="53" t="n"/>
    </row>
    <row r="9" ht="15" customHeight="1" s="35">
      <c r="A9" s="43" t="inlineStr">
        <is>
          <t>Electrical load (amine aux + compression)</t>
        </is>
      </c>
      <c r="B9" s="52">
        <f>Assumptions!$B$30+Assumptions!$B$25</f>
        <v/>
      </c>
      <c r="C9" s="43" t="inlineStr">
        <is>
          <t>kWh/t CO2</t>
        </is>
      </c>
      <c r="D9" s="53" t="n"/>
    </row>
    <row r="10" ht="15" customHeight="1" s="35">
      <c r="A10" s="43" t="inlineStr">
        <is>
          <t>Electrical cost</t>
        </is>
      </c>
      <c r="B10" s="54">
        <f>B9*Assumptions!$B$16/1000</f>
        <v/>
      </c>
      <c r="C10" s="43" t="inlineStr">
        <is>
          <t>£/t CO2</t>
        </is>
      </c>
      <c r="D10" s="53" t="n"/>
    </row>
    <row r="11" ht="15" customHeight="1" s="35">
      <c r="A11" s="43" t="inlineStr">
        <is>
          <t>Non-energy opex — SOx degradation risk (D), coupled to inlet SOx via Chapel/TERC threshold</t>
        </is>
      </c>
      <c r="B11" s="54">
        <f>Assumptions!$B$33</f>
        <v/>
      </c>
      <c r="C11" s="43" t="inlineStr">
        <is>
          <t>£/t CO2</t>
        </is>
      </c>
      <c r="D11" s="53" t="n"/>
    </row>
    <row r="12" ht="15" customHeight="1" s="35">
      <c r="A12" s="43" t="inlineStr">
        <is>
          <t>Total opex</t>
        </is>
      </c>
      <c r="B12" s="55">
        <f>B8+B10+B11</f>
        <v/>
      </c>
      <c r="C12" s="43" t="inlineStr">
        <is>
          <t>£/t CO2</t>
        </is>
      </c>
      <c r="D12" s="53" t="n"/>
    </row>
    <row r="13" ht="15" customHeight="1" s="35">
      <c r="A13" s="43" t="inlineStr">
        <is>
          <t>Annual opex</t>
        </is>
      </c>
      <c r="B13" s="56">
        <f>B12*B6</f>
        <v/>
      </c>
      <c r="C13" s="43" t="inlineStr">
        <is>
          <t>£/yr</t>
        </is>
      </c>
      <c r="D13" s="53" t="n"/>
    </row>
    <row r="15" ht="15" customHeight="1" s="35">
      <c r="A15" s="41" t="inlineStr">
        <is>
          <t>CAPEX &amp; LEVELIZATION</t>
        </is>
      </c>
      <c r="B15" s="42" t="n"/>
      <c r="C15" s="42" t="n"/>
      <c r="D15" s="42" t="n"/>
    </row>
    <row r="16" ht="15" customHeight="1" s="35">
      <c r="A16" s="43" t="inlineStr">
        <is>
          <t>Amine plant capex (Breedon's £400M)</t>
        </is>
      </c>
      <c r="B16" s="56">
        <f>Assumptions!$B$28*B6</f>
        <v/>
      </c>
      <c r="C16" s="43" t="inlineStr">
        <is>
          <t>£</t>
        </is>
      </c>
      <c r="D16" s="53" t="n"/>
    </row>
    <row r="17" ht="15" customHeight="1" s="35">
      <c r="A17" s="43" t="inlineStr">
        <is>
          <t>Capital recovery factor (CRF)</t>
        </is>
      </c>
      <c r="B17" s="57">
        <f>(Assumptions!$B$21*(1+Assumptions!$B$21)^Assumptions!$B$22)/((1+Assumptions!$B$21)^Assumptions!$B$22-1)</f>
        <v/>
      </c>
      <c r="C17" s="53" t="n"/>
      <c r="D17" s="53" t="n"/>
    </row>
    <row r="18" ht="15" customHeight="1" s="35">
      <c r="A18" s="43" t="inlineStr">
        <is>
          <t>Annualized capex</t>
        </is>
      </c>
      <c r="B18" s="56">
        <f>B16*B17</f>
        <v/>
      </c>
      <c r="C18" s="43" t="inlineStr">
        <is>
          <t>£/yr</t>
        </is>
      </c>
      <c r="D18" s="53" t="n"/>
    </row>
    <row r="19" ht="15" customHeight="1" s="35">
      <c r="A19" s="43" t="inlineStr">
        <is>
          <t>Levelized capex</t>
        </is>
      </c>
      <c r="B19" s="54">
        <f>B18/B6</f>
        <v/>
      </c>
      <c r="C19" s="43" t="inlineStr">
        <is>
          <t>£/t CO2</t>
        </is>
      </c>
      <c r="D19" s="53" t="n"/>
    </row>
    <row r="20" ht="15" customHeight="1" s="35">
      <c r="A20" s="43" t="inlineStr">
        <is>
          <t>ALL-IN LEVELIZED COST</t>
        </is>
      </c>
      <c r="B20" s="55">
        <f>B12+B19</f>
        <v/>
      </c>
      <c r="C20" s="43" t="inlineStr">
        <is>
          <t>£/t CO2</t>
        </is>
      </c>
      <c r="D20" s="5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0" customWidth="1" style="34" min="1" max="1"/>
    <col width="18" customWidth="1" style="34" min="2" max="2"/>
    <col width="14" customWidth="1" style="34" min="3" max="3"/>
    <col width="58" customWidth="1" style="34" min="4" max="4"/>
  </cols>
  <sheetData>
    <row r="1" ht="17.35" customHeight="1" s="35">
      <c r="A1" s="36" t="inlineStr">
        <is>
          <t>Optimized — Amine + WHR Thermal Integration + De-SOx + BESS</t>
        </is>
      </c>
    </row>
    <row r="2" ht="15" customHeight="1" s="35">
      <c r="A2" s="37" t="inlineStr">
        <is>
          <t>SAME £400M amine plant as Baseline, PLUS a smaller add-on package. Kiln waste heat feeds the reboiler directly (not via ORC electricity).</t>
        </is>
      </c>
    </row>
    <row r="4" ht="15" customHeight="1" s="35">
      <c r="A4" s="40" t="inlineStr">
        <is>
          <t>Metric</t>
        </is>
      </c>
      <c r="B4" s="40" t="inlineStr">
        <is>
          <t>Value</t>
        </is>
      </c>
      <c r="C4" s="40" t="inlineStr">
        <is>
          <t>Unit</t>
        </is>
      </c>
      <c r="D4" s="40" t="inlineStr">
        <is>
          <t>Note</t>
        </is>
      </c>
    </row>
    <row r="6" ht="15" customHeight="1" s="35">
      <c r="A6" s="43" t="inlineStr">
        <is>
          <t>Annual CO2 volume</t>
        </is>
      </c>
      <c r="B6" s="52">
        <f>Assumptions!$B$11</f>
        <v/>
      </c>
      <c r="C6" s="43" t="inlineStr">
        <is>
          <t>t/yr</t>
        </is>
      </c>
      <c r="D6" s="53" t="n"/>
    </row>
    <row r="7" ht="15" customHeight="1" s="35">
      <c r="A7" s="41" t="inlineStr">
        <is>
          <t>WASTE HEAT -&gt; REBOILER (DIRECT THERMAL, NOT ORC ELECTRICITY)</t>
        </is>
      </c>
      <c r="B7" s="42" t="n"/>
      <c r="C7" s="42" t="n"/>
      <c r="D7" s="42" t="n"/>
    </row>
    <row r="8" ht="15" customHeight="1" s="35">
      <c r="A8" s="43" t="inlineStr">
        <is>
          <t>Recoverable waste heat</t>
        </is>
      </c>
      <c r="B8" s="58">
        <f>Assumptions!$B$10*Assumptions!$B$39</f>
        <v/>
      </c>
      <c r="C8" s="43" t="inlineStr">
        <is>
          <t>MWth</t>
        </is>
      </c>
      <c r="D8" s="53" t="n"/>
    </row>
    <row r="9" ht="15" customHeight="1" s="35">
      <c r="A9" s="43" t="inlineStr">
        <is>
          <t>Usable heat after heat-exchanger transfer losses</t>
        </is>
      </c>
      <c r="B9" s="58">
        <f>B8*Assumptions!$B$40</f>
        <v/>
      </c>
      <c r="C9" s="43" t="inlineStr">
        <is>
          <t>MWth</t>
        </is>
      </c>
      <c r="D9" s="53" t="n"/>
    </row>
    <row r="10" ht="15" customHeight="1" s="35">
      <c r="A10" s="43" t="inlineStr">
        <is>
          <t>Annual recovered thermal energy</t>
        </is>
      </c>
      <c r="B10" s="52">
        <f>B9*Assumptions!$B$9</f>
        <v/>
      </c>
      <c r="C10" s="43" t="inlineStr">
        <is>
          <t>MWh-th/yr</t>
        </is>
      </c>
      <c r="D10" s="53" t="n"/>
    </row>
    <row r="11" ht="15" customHeight="1" s="35">
      <c r="A11" s="43" t="inlineStr">
        <is>
          <t>Reboiler thermal demand (adjusted for CO2%)</t>
        </is>
      </c>
      <c r="B11" s="52">
        <f>Assumptions!$B$29*(Assumptions!$B$13/Assumptions!$B$12)*B6/1000</f>
        <v/>
      </c>
      <c r="C11" s="43" t="inlineStr">
        <is>
          <t>MWh-th/yr</t>
        </is>
      </c>
      <c r="D11" s="53" t="n"/>
    </row>
    <row r="12" ht="15" customHeight="1" s="35">
      <c r="A12" s="43" t="inlineStr">
        <is>
          <t>Purchased thermal energy (shortfall after WHR)</t>
        </is>
      </c>
      <c r="B12" s="52">
        <f>MAX(0,B11-B10)</f>
        <v/>
      </c>
      <c r="C12" s="43" t="inlineStr">
        <is>
          <t>MWh-th/yr</t>
        </is>
      </c>
      <c r="D12" s="53" t="n"/>
    </row>
    <row r="13" ht="15" customHeight="1" s="35">
      <c r="A13" s="43" t="inlineStr">
        <is>
          <t>Share of reboiler duty covered by recovered heat</t>
        </is>
      </c>
      <c r="B13" s="59">
        <f>MIN(1,B10/B11)</f>
        <v/>
      </c>
      <c r="C13" s="43" t="inlineStr">
        <is>
          <t>%</t>
        </is>
      </c>
      <c r="D13" s="53" t="n"/>
    </row>
    <row r="15" ht="15" customHeight="1" s="35">
      <c r="A15" s="41" t="inlineStr">
        <is>
          <t>OPEX</t>
        </is>
      </c>
      <c r="B15" s="42" t="n"/>
      <c r="C15" s="42" t="n"/>
      <c r="D15" s="42" t="n"/>
    </row>
    <row r="16" ht="15" customHeight="1" s="35">
      <c r="A16" s="43" t="inlineStr">
        <is>
          <t>Purchased thermal cost</t>
        </is>
      </c>
      <c r="B16" s="56">
        <f>B12*Assumptions!$B$17</f>
        <v/>
      </c>
      <c r="C16" s="43" t="inlineStr">
        <is>
          <t>£/yr</t>
        </is>
      </c>
      <c r="D16" s="53" t="n"/>
    </row>
    <row r="17" ht="15" customHeight="1" s="35">
      <c r="A17" s="43" t="inlineStr">
        <is>
          <t>Electrical cost (aux + compression, unchanged)</t>
        </is>
      </c>
      <c r="B17" s="56">
        <f>(Assumptions!$B$30+Assumptions!$B$25)*B6/1000*Assumptions!$B$16</f>
        <v/>
      </c>
      <c r="C17" s="43" t="inlineStr">
        <is>
          <t>£/yr</t>
        </is>
      </c>
      <c r="D17" s="53" t="n"/>
    </row>
    <row r="18" ht="15" customHeight="1" s="35">
      <c r="A18" s="43" t="inlineStr">
        <is>
          <t>Non-energy opex (protected amine + De-SOx protection opex P, coupled/physics-based)</t>
        </is>
      </c>
      <c r="B18" s="56">
        <f>(Assumptions!$B$36+Assumptions!$B$38)*B6</f>
        <v/>
      </c>
      <c r="C18" s="43" t="inlineStr">
        <is>
          <t>£/yr</t>
        </is>
      </c>
      <c r="D18" s="53" t="n"/>
    </row>
    <row r="19" ht="15" customHeight="1" s="35">
      <c r="A19" s="43" t="inlineStr">
        <is>
          <t>Total opex</t>
        </is>
      </c>
      <c r="B19" s="56">
        <f>B16+B17+B18</f>
        <v/>
      </c>
      <c r="C19" s="43" t="inlineStr">
        <is>
          <t>£/yr</t>
        </is>
      </c>
      <c r="D19" s="53" t="n"/>
    </row>
    <row r="20" ht="15" customHeight="1" s="35">
      <c r="A20" s="43" t="inlineStr">
        <is>
          <t>Total opex</t>
        </is>
      </c>
      <c r="B20" s="55">
        <f>B19/B6</f>
        <v/>
      </c>
      <c r="C20" s="43" t="inlineStr">
        <is>
          <t>£/t CO2</t>
        </is>
      </c>
      <c r="D20" s="53" t="n"/>
    </row>
    <row r="22" ht="15" customHeight="1" s="35">
      <c r="A22" s="41" t="inlineStr">
        <is>
          <t>CAPEX &amp; LEVELIZATION</t>
        </is>
      </c>
      <c r="B22" s="42" t="n"/>
      <c r="C22" s="42" t="n"/>
      <c r="D22" s="42" t="n"/>
    </row>
    <row r="23" ht="15" customHeight="1" s="35">
      <c r="A23" s="43" t="inlineStr">
        <is>
          <t>Amine plant capex (SAME base plant as Baseline)</t>
        </is>
      </c>
      <c r="B23" s="56">
        <f>Assumptions!$B$28*B6</f>
        <v/>
      </c>
      <c r="C23" s="43" t="inlineStr">
        <is>
          <t>£</t>
        </is>
      </c>
      <c r="D23" s="53" t="n"/>
    </row>
    <row r="24" ht="15" customHeight="1" s="35">
      <c r="A24" s="43" t="inlineStr">
        <is>
          <t>De-SOx incremental capex (CENTRAL CASE = £0; standard pretreatment assumed inside baseline — see Assumptions memo)</t>
        </is>
      </c>
      <c r="B24" s="56">
        <f>Assumptions!$B$37*B6</f>
        <v/>
      </c>
      <c r="C24" s="43" t="inlineStr">
        <is>
          <t>£</t>
        </is>
      </c>
      <c r="D24" s="53" t="n"/>
    </row>
    <row r="25" ht="15" customHeight="1" s="35">
      <c r="A25" s="43" t="inlineStr">
        <is>
          <t>WHR thermal-integration capex</t>
        </is>
      </c>
      <c r="B25" s="56">
        <f>Assumptions!$B$41*B8</f>
        <v/>
      </c>
      <c r="C25" s="43" t="inlineStr">
        <is>
          <t>£</t>
        </is>
      </c>
      <c r="D25" s="53" t="n"/>
    </row>
    <row r="26" ht="15" customHeight="1" s="35">
      <c r="A26" s="43" t="inlineStr">
        <is>
          <t>BESS capex</t>
        </is>
      </c>
      <c r="B26" s="56">
        <f>Assumptions!$B$43*Assumptions!$B$44*1000*Assumptions!$B$42</f>
        <v/>
      </c>
      <c r="C26" s="43" t="inlineStr">
        <is>
          <t>£</t>
        </is>
      </c>
      <c r="D26" s="53" t="n"/>
    </row>
    <row r="27" ht="15" customHeight="1" s="35">
      <c r="A27" s="43" t="inlineStr">
        <is>
          <t>Add-on capex, gross (DeSOx + WHR + BESS)</t>
        </is>
      </c>
      <c r="B27" s="56">
        <f>B24+B25+B26</f>
        <v/>
      </c>
      <c r="C27" s="43" t="inlineStr">
        <is>
          <t>£</t>
        </is>
      </c>
      <c r="D27" s="53" t="n"/>
    </row>
    <row r="28" ht="15" customHeight="1" s="35">
      <c r="A28" s="43" t="inlineStr">
        <is>
          <t>Avoided/delayed grid-reinforcement value</t>
        </is>
      </c>
      <c r="B28" s="56">
        <f>Assumptions!$B$45</f>
        <v/>
      </c>
      <c r="C28" s="43" t="inlineStr">
        <is>
          <t>£</t>
        </is>
      </c>
      <c r="D28" s="53" t="n"/>
    </row>
    <row r="29" ht="15" customHeight="1" s="35">
      <c r="A29" s="43" t="inlineStr">
        <is>
          <t>Add-on capex, net</t>
        </is>
      </c>
      <c r="B29" s="60">
        <f>B27-B28</f>
        <v/>
      </c>
      <c r="C29" s="43" t="inlineStr">
        <is>
          <t>£</t>
        </is>
      </c>
      <c r="D29" s="53" t="n"/>
    </row>
    <row r="30" ht="15" customHeight="1" s="35">
      <c r="A30" s="43" t="inlineStr">
        <is>
          <t>Total capex (base plant + net add-on)</t>
        </is>
      </c>
      <c r="B30" s="56">
        <f>B23+B29</f>
        <v/>
      </c>
      <c r="C30" s="43" t="inlineStr">
        <is>
          <t>£</t>
        </is>
      </c>
      <c r="D30" s="53" t="n"/>
    </row>
    <row r="31" ht="15" customHeight="1" s="35">
      <c r="A31" s="43" t="inlineStr">
        <is>
          <t>Capital recovery factor (CRF)</t>
        </is>
      </c>
      <c r="B31" s="57">
        <f>Baseline!B17</f>
        <v/>
      </c>
      <c r="C31" s="53" t="n"/>
      <c r="D31" s="53" t="n"/>
    </row>
    <row r="32" ht="15" customHeight="1" s="35">
      <c r="A32" s="43" t="inlineStr">
        <is>
          <t>Annualized capex</t>
        </is>
      </c>
      <c r="B32" s="56">
        <f>B30*B31</f>
        <v/>
      </c>
      <c r="C32" s="43" t="inlineStr">
        <is>
          <t>£/yr</t>
        </is>
      </c>
      <c r="D32" s="53" t="n"/>
    </row>
    <row r="33" ht="15" customHeight="1" s="35">
      <c r="A33" s="43" t="inlineStr">
        <is>
          <t>Levelized capex</t>
        </is>
      </c>
      <c r="B33" s="54">
        <f>B32/B6</f>
        <v/>
      </c>
      <c r="C33" s="43" t="inlineStr">
        <is>
          <t>£/t CO2</t>
        </is>
      </c>
      <c r="D33" s="53" t="n"/>
    </row>
    <row r="34" ht="15" customHeight="1" s="35">
      <c r="A34" s="43" t="inlineStr">
        <is>
          <t>ALL-IN LEVELIZED COST</t>
        </is>
      </c>
      <c r="B34" s="55">
        <f>B20+B33</f>
        <v/>
      </c>
      <c r="C34" s="43" t="inlineStr">
        <is>
          <t>£/t CO2</t>
        </is>
      </c>
      <c r="D34" s="5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5" customWidth="1" style="34" min="1" max="1"/>
    <col width="18" customWidth="1" style="34" min="2" max="2"/>
    <col width="14" customWidth="1" style="34" min="3" max="3"/>
    <col width="62" customWidth="1" style="34" min="4" max="4"/>
  </cols>
  <sheetData>
    <row r="1" ht="17.35" customHeight="1" s="35">
      <c r="A1" s="36" t="inlineStr">
        <is>
          <t>Comparison — Amine As-Planned vs Amine + WHR/De-SOx/BESS Add-On</t>
        </is>
      </c>
    </row>
    <row r="2" ht="15" customHeight="1" s="35">
      <c r="A2" s="37" t="inlineStr">
        <is>
          <t>Both cases include the SAME £400M amine plant. This is the value of the add-on package only.</t>
        </is>
      </c>
    </row>
    <row r="4" ht="15" customHeight="1" s="35">
      <c r="A4" s="40" t="inlineStr">
        <is>
          <t>Metric</t>
        </is>
      </c>
      <c r="B4" s="40" t="inlineStr">
        <is>
          <t>Value</t>
        </is>
      </c>
      <c r="C4" s="40" t="inlineStr">
        <is>
          <t>Unit</t>
        </is>
      </c>
      <c r="D4" s="40" t="inlineStr">
        <is>
          <t>Note</t>
        </is>
      </c>
    </row>
    <row r="6" ht="15" customHeight="1" s="35">
      <c r="A6" s="41" t="inlineStr">
        <is>
          <t>ALL-IN LEVELIZED COST</t>
        </is>
      </c>
      <c r="B6" s="42" t="n"/>
      <c r="C6" s="42" t="n"/>
      <c r="D6" s="42" t="n"/>
    </row>
    <row r="7" ht="15" customHeight="1" s="35">
      <c r="A7" s="43" t="inlineStr">
        <is>
          <t>Baseline (amine as-planned) — all-in £/t</t>
        </is>
      </c>
      <c r="B7" s="54">
        <f>Baseline!$B$20</f>
        <v/>
      </c>
      <c r="C7" s="43" t="inlineStr">
        <is>
          <t>£/t CO2</t>
        </is>
      </c>
      <c r="D7" s="53" t="n"/>
    </row>
    <row r="8" ht="15" customHeight="1" s="35">
      <c r="A8" s="43" t="inlineStr">
        <is>
          <t>Optimized (+ WHR/De-SOx/BESS) — all-in £/t</t>
        </is>
      </c>
      <c r="B8" s="54">
        <f>Optimized!$B$34</f>
        <v/>
      </c>
      <c r="C8" s="43" t="inlineStr">
        <is>
          <t>£/t CO2</t>
        </is>
      </c>
      <c r="D8" s="53" t="n"/>
    </row>
    <row r="9" ht="15" customHeight="1" s="35">
      <c r="A9" s="43" t="inlineStr">
        <is>
          <t>Savings per tonne</t>
        </is>
      </c>
      <c r="B9" s="55">
        <f>B7-B8</f>
        <v/>
      </c>
      <c r="C9" s="43" t="inlineStr">
        <is>
          <t>£/t CO2</t>
        </is>
      </c>
      <c r="D9" s="53" t="n"/>
    </row>
    <row r="10" ht="15" customHeight="1" s="35">
      <c r="A10" s="43" t="inlineStr">
        <is>
          <t>Savings, %</t>
        </is>
      </c>
      <c r="B10" s="59">
        <f>B9/B7</f>
        <v/>
      </c>
      <c r="C10" s="43" t="inlineStr">
        <is>
          <t>%</t>
        </is>
      </c>
      <c r="D10" s="53" t="n"/>
    </row>
    <row r="11" ht="15" customHeight="1" s="35">
      <c r="A11" s="43" t="inlineStr">
        <is>
          <t>UK ETS price (reference only)</t>
        </is>
      </c>
      <c r="B11" s="54">
        <f>Assumptions!$B$18</f>
        <v/>
      </c>
      <c r="C11" s="43" t="inlineStr">
        <is>
          <t>£/t CO2</t>
        </is>
      </c>
      <c r="D11" s="53" t="n"/>
    </row>
    <row r="13" ht="15" customHeight="1" s="35">
      <c r="A13" s="41" t="inlineStr">
        <is>
          <t>THE ACTUAL PITCH NUMBERS: INCREMENTAL CAPEX vs INCREMENTAL SAVINGS</t>
        </is>
      </c>
      <c r="B13" s="42" t="n"/>
      <c r="C13" s="42" t="n"/>
      <c r="D13" s="42" t="n"/>
    </row>
    <row r="14" ht="15" customHeight="1" s="35">
      <c r="A14" s="43" t="inlineStr">
        <is>
          <t>Add-on capex (DeSOx + WHR + BESS, net of grid offset)</t>
        </is>
      </c>
      <c r="B14" s="60">
        <f>Optimized!$B$29</f>
        <v/>
      </c>
      <c r="C14" s="43" t="inlineStr">
        <is>
          <t>£</t>
        </is>
      </c>
      <c r="D14" s="53" t="n"/>
    </row>
    <row r="15" ht="15" customHeight="1" s="35">
      <c r="A15" s="43" t="inlineStr">
        <is>
          <t>Baseline annual opex</t>
        </is>
      </c>
      <c r="B15" s="56">
        <f>Baseline!$B$13</f>
        <v/>
      </c>
      <c r="C15" s="43" t="inlineStr">
        <is>
          <t>£/yr</t>
        </is>
      </c>
      <c r="D15" s="53" t="n"/>
    </row>
    <row r="16" ht="15" customHeight="1" s="35">
      <c r="A16" s="43" t="inlineStr">
        <is>
          <t>Optimized annual opex</t>
        </is>
      </c>
      <c r="B16" s="56">
        <f>Optimized!$B$19</f>
        <v/>
      </c>
      <c r="C16" s="43" t="inlineStr">
        <is>
          <t>£/yr</t>
        </is>
      </c>
      <c r="D16" s="53" t="n"/>
    </row>
    <row r="17" ht="15" customHeight="1" s="35">
      <c r="A17" s="43" t="inlineStr">
        <is>
          <t>Annual opex savings</t>
        </is>
      </c>
      <c r="B17" s="60">
        <f>B15-B16</f>
        <v/>
      </c>
      <c r="C17" s="43" t="inlineStr">
        <is>
          <t>£/yr</t>
        </is>
      </c>
      <c r="D17" s="53" t="n"/>
    </row>
    <row r="18" ht="15" customHeight="1" s="35">
      <c r="A18" s="43" t="inlineStr">
        <is>
          <t>Simple payback on the add-on package</t>
        </is>
      </c>
      <c r="B18" s="47">
        <f>IF(B17&lt;=0,"N/A",B14/B17)</f>
        <v/>
      </c>
      <c r="C18" s="43" t="inlineStr">
        <is>
          <t>years</t>
        </is>
      </c>
      <c r="D18" s="53" t="n"/>
    </row>
    <row r="20" ht="15" customHeight="1" s="35">
      <c r="A20" s="41" t="inlineStr">
        <is>
          <t>WHAT THE ADD-ON IS ACTUALLY BUYING</t>
        </is>
      </c>
      <c r="B20" s="42" t="n"/>
      <c r="C20" s="42" t="n"/>
      <c r="D20" s="42" t="n"/>
    </row>
    <row r="21" ht="15" customHeight="1" s="35">
      <c r="A21" s="43" t="inlineStr">
        <is>
          <t>Share of reboiler thermal duty covered by recovered waste heat</t>
        </is>
      </c>
      <c r="B21" s="61">
        <f>Optimized!$B$13</f>
        <v/>
      </c>
      <c r="C21" s="43" t="inlineStr">
        <is>
          <t>%</t>
        </is>
      </c>
      <c r="D21" s="62" t="inlineStr">
        <is>
          <t>This is a technology-agnostic saving — works whether Breedon sticks with amine or ever revisits capture tech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34" min="1" max="1"/>
    <col width="13" customWidth="1" style="34" min="2" max="8"/>
  </cols>
  <sheetData>
    <row r="1" ht="17.35" customHeight="1" s="35">
      <c r="A1" s="36" t="inlineStr">
        <is>
          <t>Sensitivity</t>
        </is>
      </c>
    </row>
    <row r="2" ht="15" customHeight="1" s="35">
      <c r="A2" s="37" t="inlineStr">
        <is>
          <t>Payback period (years) vs the two least-certain inputs: specific heat consumption (drives kiln MWth, hence WHR supply) and De-SOx scenario (central = £0 vs polisher downside).</t>
        </is>
      </c>
    </row>
    <row r="4" ht="15" customHeight="1" s="35">
      <c r="A4" s="41" t="inlineStr">
        <is>
          <t>TABLE 1 — Simple payback (years) vs specific heat consumption and De-SOx capex</t>
        </is>
      </c>
      <c r="B4" s="42" t="n"/>
      <c r="C4" s="42" t="n"/>
      <c r="D4" s="42" t="n"/>
      <c r="E4" s="42" t="n"/>
      <c r="F4" s="42" t="n"/>
      <c r="G4" s="42" t="n"/>
      <c r="H4" s="42" t="n"/>
    </row>
    <row r="5" ht="15" customHeight="1" s="35">
      <c r="A5" s="40" t="inlineStr">
        <is>
          <t>GJ/t \ De-SOx scenario £/tpa</t>
        </is>
      </c>
      <c r="B5" s="63" t="n">
        <v>0</v>
      </c>
      <c r="C5" s="63" t="n">
        <v>15</v>
      </c>
      <c r="D5" s="63" t="n">
        <v>25</v>
      </c>
      <c r="E5" s="63" t="n">
        <v>25</v>
      </c>
    </row>
    <row r="6" ht="15" customHeight="1" s="35">
      <c r="A6" s="64" t="n">
        <v>3.3</v>
      </c>
      <c r="B6" s="65">
        <f>IF((Baseline!$B$13-((MAX(0,(Assumptions!$B$29*(Assumptions!$B$13/Assumptions!$B$12)*Optimized!$B$6/1000)-((((Assumptions!$B$7*$A6*1000000000)/(Assumptions!$B$9*3600)/1000000*Assumptions!$B$39)*Assumptions!$B$40)*Assumptions!$B$9))*Assumptions!$B$17)+((Assumptions!$B$30+Assumptions!$B$25)*Optimized!$B$6/1000*Assumptions!$B$16)+((Assumptions!$B$36+Assumptions!$B$38)*Optimized!$B$6)))&lt;=0,"N/A",(((B$5*Optimized!$B$6)+(Assumptions!$B$41*((Assumptions!$B$7*$A6*1000000000)/(Assumptions!$B$9*3600)/1000000*Assumptions!$B$39))+Optimized!$B$26)-Assumptions!$B$45)/(Baseline!$B$13-((MAX(0,(Assumptions!$B$29*(Assumptions!$B$13/Assumptions!$B$12)*Optimized!$B$6/1000)-((((Assumptions!$B$7*$A6*1000000000)/(Assumptions!$B$9*3600)/1000000*Assumptions!$B$39)*Assumptions!$B$40)*Assumptions!$B$9))*Assumptions!$B$17)+((Assumptions!$B$30+Assumptions!$B$25)*Optimized!$B$6/1000*Assumptions!$B$16)+((Assumptions!$B$36+Assumptions!$B$38)*Optimized!$B$6))))</f>
        <v/>
      </c>
      <c r="C6" s="65">
        <f>IF((Baseline!$B$13-((MAX(0,(Assumptions!$B$29*(Assumptions!$B$13/Assumptions!$B$12)*Optimized!$B$6/1000)-((((Assumptions!$B$7*$A6*1000000000)/(Assumptions!$B$9*3600)/1000000*Assumptions!$B$39)*Assumptions!$B$40)*Assumptions!$B$9))*Assumptions!$B$17)+((Assumptions!$B$30+Assumptions!$B$25)*Optimized!$B$6/1000*Assumptions!$B$16)+((Assumptions!$B$36+Assumptions!$B$38)*Optimized!$B$6)))&lt;=0,"N/A",(((C$5*Optimized!$B$6)+(Assumptions!$B$41*((Assumptions!$B$7*$A6*1000000000)/(Assumptions!$B$9*3600)/1000000*Assumptions!$B$39))+Optimized!$B$26)-Assumptions!$B$45)/(Baseline!$B$13-((MAX(0,(Assumptions!$B$29*(Assumptions!$B$13/Assumptions!$B$12)*Optimized!$B$6/1000)-((((Assumptions!$B$7*$A6*1000000000)/(Assumptions!$B$9*3600)/1000000*Assumptions!$B$39)*Assumptions!$B$40)*Assumptions!$B$9))*Assumptions!$B$17)+((Assumptions!$B$30+Assumptions!$B$25)*Optimized!$B$6/1000*Assumptions!$B$16)+((Assumptions!$B$36+Assumptions!$B$38)*Optimized!$B$6))))</f>
        <v/>
      </c>
      <c r="D6" s="65">
        <f>IF((Baseline!$B$13-((MAX(0,(Assumptions!$B$29*(Assumptions!$B$13/Assumptions!$B$12)*Optimized!$B$6/1000)-((((Assumptions!$B$7*$A6*1000000000)/(Assumptions!$B$9*3600)/1000000*Assumptions!$B$39)*Assumptions!$B$40)*Assumptions!$B$9))*Assumptions!$B$17)+((Assumptions!$B$30+Assumptions!$B$25)*Optimized!$B$6/1000*Assumptions!$B$16)+((Assumptions!$B$36+Assumptions!$B$38)*Optimized!$B$6)))&lt;=0,"N/A",(((D$5*Optimized!$B$6)+(Assumptions!$B$41*((Assumptions!$B$7*$A6*1000000000)/(Assumptions!$B$9*3600)/1000000*Assumptions!$B$39))+Optimized!$B$26)-Assumptions!$B$45)/(Baseline!$B$13-((MAX(0,(Assumptions!$B$29*(Assumptions!$B$13/Assumptions!$B$12)*Optimized!$B$6/1000)-((((Assumptions!$B$7*$A6*1000000000)/(Assumptions!$B$9*3600)/1000000*Assumptions!$B$39)*Assumptions!$B$40)*Assumptions!$B$9))*Assumptions!$B$17)+((Assumptions!$B$30+Assumptions!$B$25)*Optimized!$B$6/1000*Assumptions!$B$16)+((Assumptions!$B$36+Assumptions!$B$38)*Optimized!$B$6))))</f>
        <v/>
      </c>
      <c r="E6" s="65">
        <f>IF((Baseline!$B$13-((MAX(0,(Assumptions!$B$29*(Assumptions!$B$13/Assumptions!$B$12)*Optimized!$B$6/1000)-((((Assumptions!$B$7*$A6*1000000000)/(Assumptions!$B$9*3600)/1000000*Assumptions!$B$39)*Assumptions!$B$40)*Assumptions!$B$9))*Assumptions!$B$17)+((Assumptions!$B$30+Assumptions!$B$25)*Optimized!$B$6/1000*Assumptions!$B$16)+((Assumptions!$B$36+Assumptions!$B$38)*Optimized!$B$6)))&lt;=0,"N/A",(((E$5*Optimized!$B$6)+(Assumptions!$B$41*((Assumptions!$B$7*$A6*1000000000)/(Assumptions!$B$9*3600)/1000000*Assumptions!$B$39))+Optimized!$B$26)-Assumptions!$B$45)/(Baseline!$B$13-((MAX(0,(Assumptions!$B$29*(Assumptions!$B$13/Assumptions!$B$12)*Optimized!$B$6/1000)-((((Assumptions!$B$7*$A6*1000000000)/(Assumptions!$B$9*3600)/1000000*Assumptions!$B$39)*Assumptions!$B$40)*Assumptions!$B$9))*Assumptions!$B$17)+((Assumptions!$B$30+Assumptions!$B$25)*Optimized!$B$6/1000*Assumptions!$B$16)+((Assumptions!$B$36+Assumptions!$B$38)*Optimized!$B$6))))</f>
        <v/>
      </c>
    </row>
    <row r="7" ht="15" customHeight="1" s="35">
      <c r="A7" s="64" t="n">
        <v>3.5</v>
      </c>
      <c r="B7" s="65">
        <f>IF((Baseline!$B$13-((MAX(0,(Assumptions!$B$29*(Assumptions!$B$13/Assumptions!$B$12)*Optimized!$B$6/1000)-((((Assumptions!$B$7*$A7*1000000000)/(Assumptions!$B$9*3600)/1000000*Assumptions!$B$39)*Assumptions!$B$40)*Assumptions!$B$9))*Assumptions!$B$17)+((Assumptions!$B$30+Assumptions!$B$25)*Optimized!$B$6/1000*Assumptions!$B$16)+((Assumptions!$B$36+Assumptions!$B$38)*Optimized!$B$6)))&lt;=0,"N/A",(((B$5*Optimized!$B$6)+(Assumptions!$B$41*((Assumptions!$B$7*$A7*1000000000)/(Assumptions!$B$9*3600)/1000000*Assumptions!$B$39))+Optimized!$B$26)-Assumptions!$B$45)/(Baseline!$B$13-((MAX(0,(Assumptions!$B$29*(Assumptions!$B$13/Assumptions!$B$12)*Optimized!$B$6/1000)-((((Assumptions!$B$7*$A7*1000000000)/(Assumptions!$B$9*3600)/1000000*Assumptions!$B$39)*Assumptions!$B$40)*Assumptions!$B$9))*Assumptions!$B$17)+((Assumptions!$B$30+Assumptions!$B$25)*Optimized!$B$6/1000*Assumptions!$B$16)+((Assumptions!$B$36+Assumptions!$B$38)*Optimized!$B$6))))</f>
        <v/>
      </c>
      <c r="C7" s="65">
        <f>IF((Baseline!$B$13-((MAX(0,(Assumptions!$B$29*(Assumptions!$B$13/Assumptions!$B$12)*Optimized!$B$6/1000)-((((Assumptions!$B$7*$A7*1000000000)/(Assumptions!$B$9*3600)/1000000*Assumptions!$B$39)*Assumptions!$B$40)*Assumptions!$B$9))*Assumptions!$B$17)+((Assumptions!$B$30+Assumptions!$B$25)*Optimized!$B$6/1000*Assumptions!$B$16)+((Assumptions!$B$36+Assumptions!$B$38)*Optimized!$B$6)))&lt;=0,"N/A",(((C$5*Optimized!$B$6)+(Assumptions!$B$41*((Assumptions!$B$7*$A7*1000000000)/(Assumptions!$B$9*3600)/1000000*Assumptions!$B$39))+Optimized!$B$26)-Assumptions!$B$45)/(Baseline!$B$13-((MAX(0,(Assumptions!$B$29*(Assumptions!$B$13/Assumptions!$B$12)*Optimized!$B$6/1000)-((((Assumptions!$B$7*$A7*1000000000)/(Assumptions!$B$9*3600)/1000000*Assumptions!$B$39)*Assumptions!$B$40)*Assumptions!$B$9))*Assumptions!$B$17)+((Assumptions!$B$30+Assumptions!$B$25)*Optimized!$B$6/1000*Assumptions!$B$16)+((Assumptions!$B$36+Assumptions!$B$38)*Optimized!$B$6))))</f>
        <v/>
      </c>
      <c r="D7" s="65">
        <f>IF((Baseline!$B$13-((MAX(0,(Assumptions!$B$29*(Assumptions!$B$13/Assumptions!$B$12)*Optimized!$B$6/1000)-((((Assumptions!$B$7*$A7*1000000000)/(Assumptions!$B$9*3600)/1000000*Assumptions!$B$39)*Assumptions!$B$40)*Assumptions!$B$9))*Assumptions!$B$17)+((Assumptions!$B$30+Assumptions!$B$25)*Optimized!$B$6/1000*Assumptions!$B$16)+((Assumptions!$B$36+Assumptions!$B$38)*Optimized!$B$6)))&lt;=0,"N/A",(((D$5*Optimized!$B$6)+(Assumptions!$B$41*((Assumptions!$B$7*$A7*1000000000)/(Assumptions!$B$9*3600)/1000000*Assumptions!$B$39))+Optimized!$B$26)-Assumptions!$B$45)/(Baseline!$B$13-((MAX(0,(Assumptions!$B$29*(Assumptions!$B$13/Assumptions!$B$12)*Optimized!$B$6/1000)-((((Assumptions!$B$7*$A7*1000000000)/(Assumptions!$B$9*3600)/1000000*Assumptions!$B$39)*Assumptions!$B$40)*Assumptions!$B$9))*Assumptions!$B$17)+((Assumptions!$B$30+Assumptions!$B$25)*Optimized!$B$6/1000*Assumptions!$B$16)+((Assumptions!$B$36+Assumptions!$B$38)*Optimized!$B$6))))</f>
        <v/>
      </c>
      <c r="E7" s="65">
        <f>IF((Baseline!$B$13-((MAX(0,(Assumptions!$B$29*(Assumptions!$B$13/Assumptions!$B$12)*Optimized!$B$6/1000)-((((Assumptions!$B$7*$A7*1000000000)/(Assumptions!$B$9*3600)/1000000*Assumptions!$B$39)*Assumptions!$B$40)*Assumptions!$B$9))*Assumptions!$B$17)+((Assumptions!$B$30+Assumptions!$B$25)*Optimized!$B$6/1000*Assumptions!$B$16)+((Assumptions!$B$36+Assumptions!$B$38)*Optimized!$B$6)))&lt;=0,"N/A",(((E$5*Optimized!$B$6)+(Assumptions!$B$41*((Assumptions!$B$7*$A7*1000000000)/(Assumptions!$B$9*3600)/1000000*Assumptions!$B$39))+Optimized!$B$26)-Assumptions!$B$45)/(Baseline!$B$13-((MAX(0,(Assumptions!$B$29*(Assumptions!$B$13/Assumptions!$B$12)*Optimized!$B$6/1000)-((((Assumptions!$B$7*$A7*1000000000)/(Assumptions!$B$9*3600)/1000000*Assumptions!$B$39)*Assumptions!$B$40)*Assumptions!$B$9))*Assumptions!$B$17)+((Assumptions!$B$30+Assumptions!$B$25)*Optimized!$B$6/1000*Assumptions!$B$16)+((Assumptions!$B$36+Assumptions!$B$38)*Optimized!$B$6))))</f>
        <v/>
      </c>
    </row>
    <row r="8" ht="15" customHeight="1" s="35">
      <c r="A8" s="64" t="n">
        <v>3.7</v>
      </c>
      <c r="B8" s="65">
        <f>IF((Baseline!$B$13-((MAX(0,(Assumptions!$B$29*(Assumptions!$B$13/Assumptions!$B$12)*Optimized!$B$6/1000)-((((Assumptions!$B$7*$A8*1000000000)/(Assumptions!$B$9*3600)/1000000*Assumptions!$B$39)*Assumptions!$B$40)*Assumptions!$B$9))*Assumptions!$B$17)+((Assumptions!$B$30+Assumptions!$B$25)*Optimized!$B$6/1000*Assumptions!$B$16)+((Assumptions!$B$36+Assumptions!$B$38)*Optimized!$B$6)))&lt;=0,"N/A",(((B$5*Optimized!$B$6)+(Assumptions!$B$41*((Assumptions!$B$7*$A8*1000000000)/(Assumptions!$B$9*3600)/1000000*Assumptions!$B$39))+Optimized!$B$26)-Assumptions!$B$45)/(Baseline!$B$13-((MAX(0,(Assumptions!$B$29*(Assumptions!$B$13/Assumptions!$B$12)*Optimized!$B$6/1000)-((((Assumptions!$B$7*$A8*1000000000)/(Assumptions!$B$9*3600)/1000000*Assumptions!$B$39)*Assumptions!$B$40)*Assumptions!$B$9))*Assumptions!$B$17)+((Assumptions!$B$30+Assumptions!$B$25)*Optimized!$B$6/1000*Assumptions!$B$16)+((Assumptions!$B$36+Assumptions!$B$38)*Optimized!$B$6))))</f>
        <v/>
      </c>
      <c r="C8" s="65">
        <f>IF((Baseline!$B$13-((MAX(0,(Assumptions!$B$29*(Assumptions!$B$13/Assumptions!$B$12)*Optimized!$B$6/1000)-((((Assumptions!$B$7*$A8*1000000000)/(Assumptions!$B$9*3600)/1000000*Assumptions!$B$39)*Assumptions!$B$40)*Assumptions!$B$9))*Assumptions!$B$17)+((Assumptions!$B$30+Assumptions!$B$25)*Optimized!$B$6/1000*Assumptions!$B$16)+((Assumptions!$B$36+Assumptions!$B$38)*Optimized!$B$6)))&lt;=0,"N/A",(((C$5*Optimized!$B$6)+(Assumptions!$B$41*((Assumptions!$B$7*$A8*1000000000)/(Assumptions!$B$9*3600)/1000000*Assumptions!$B$39))+Optimized!$B$26)-Assumptions!$B$45)/(Baseline!$B$13-((MAX(0,(Assumptions!$B$29*(Assumptions!$B$13/Assumptions!$B$12)*Optimized!$B$6/1000)-((((Assumptions!$B$7*$A8*1000000000)/(Assumptions!$B$9*3600)/1000000*Assumptions!$B$39)*Assumptions!$B$40)*Assumptions!$B$9))*Assumptions!$B$17)+((Assumptions!$B$30+Assumptions!$B$25)*Optimized!$B$6/1000*Assumptions!$B$16)+((Assumptions!$B$36+Assumptions!$B$38)*Optimized!$B$6))))</f>
        <v/>
      </c>
      <c r="D8" s="65">
        <f>IF((Baseline!$B$13-((MAX(0,(Assumptions!$B$29*(Assumptions!$B$13/Assumptions!$B$12)*Optimized!$B$6/1000)-((((Assumptions!$B$7*$A8*1000000000)/(Assumptions!$B$9*3600)/1000000*Assumptions!$B$39)*Assumptions!$B$40)*Assumptions!$B$9))*Assumptions!$B$17)+((Assumptions!$B$30+Assumptions!$B$25)*Optimized!$B$6/1000*Assumptions!$B$16)+((Assumptions!$B$36+Assumptions!$B$38)*Optimized!$B$6)))&lt;=0,"N/A",(((D$5*Optimized!$B$6)+(Assumptions!$B$41*((Assumptions!$B$7*$A8*1000000000)/(Assumptions!$B$9*3600)/1000000*Assumptions!$B$39))+Optimized!$B$26)-Assumptions!$B$45)/(Baseline!$B$13-((MAX(0,(Assumptions!$B$29*(Assumptions!$B$13/Assumptions!$B$12)*Optimized!$B$6/1000)-((((Assumptions!$B$7*$A8*1000000000)/(Assumptions!$B$9*3600)/1000000*Assumptions!$B$39)*Assumptions!$B$40)*Assumptions!$B$9))*Assumptions!$B$17)+((Assumptions!$B$30+Assumptions!$B$25)*Optimized!$B$6/1000*Assumptions!$B$16)+((Assumptions!$B$36+Assumptions!$B$38)*Optimized!$B$6))))</f>
        <v/>
      </c>
      <c r="E8" s="65">
        <f>IF((Baseline!$B$13-((MAX(0,(Assumptions!$B$29*(Assumptions!$B$13/Assumptions!$B$12)*Optimized!$B$6/1000)-((((Assumptions!$B$7*$A8*1000000000)/(Assumptions!$B$9*3600)/1000000*Assumptions!$B$39)*Assumptions!$B$40)*Assumptions!$B$9))*Assumptions!$B$17)+((Assumptions!$B$30+Assumptions!$B$25)*Optimized!$B$6/1000*Assumptions!$B$16)+((Assumptions!$B$36+Assumptions!$B$38)*Optimized!$B$6)))&lt;=0,"N/A",(((E$5*Optimized!$B$6)+(Assumptions!$B$41*((Assumptions!$B$7*$A8*1000000000)/(Assumptions!$B$9*3600)/1000000*Assumptions!$B$39))+Optimized!$B$26)-Assumptions!$B$45)/(Baseline!$B$13-((MAX(0,(Assumptions!$B$29*(Assumptions!$B$13/Assumptions!$B$12)*Optimized!$B$6/1000)-((((Assumptions!$B$7*$A8*1000000000)/(Assumptions!$B$9*3600)/1000000*Assumptions!$B$39)*Assumptions!$B$40)*Assumptions!$B$9))*Assumptions!$B$17)+((Assumptions!$B$30+Assumptions!$B$25)*Optimized!$B$6/1000*Assumptions!$B$16)+((Assumptions!$B$36+Assumptions!$B$38)*Optimized!$B$6))))</f>
        <v/>
      </c>
    </row>
    <row r="9" ht="15" customHeight="1" s="35">
      <c r="A9" s="64" t="n">
        <v>3.8</v>
      </c>
      <c r="B9" s="65">
        <f>IF((Baseline!$B$13-((MAX(0,(Assumptions!$B$29*(Assumptions!$B$13/Assumptions!$B$12)*Optimized!$B$6/1000)-((((Assumptions!$B$7*$A9*1000000000)/(Assumptions!$B$9*3600)/1000000*Assumptions!$B$39)*Assumptions!$B$40)*Assumptions!$B$9))*Assumptions!$B$17)+((Assumptions!$B$30+Assumptions!$B$25)*Optimized!$B$6/1000*Assumptions!$B$16)+((Assumptions!$B$36+Assumptions!$B$38)*Optimized!$B$6)))&lt;=0,"N/A",(((B$5*Optimized!$B$6)+(Assumptions!$B$41*((Assumptions!$B$7*$A9*1000000000)/(Assumptions!$B$9*3600)/1000000*Assumptions!$B$39))+Optimized!$B$26)-Assumptions!$B$45)/(Baseline!$B$13-((MAX(0,(Assumptions!$B$29*(Assumptions!$B$13/Assumptions!$B$12)*Optimized!$B$6/1000)-((((Assumptions!$B$7*$A9*1000000000)/(Assumptions!$B$9*3600)/1000000*Assumptions!$B$39)*Assumptions!$B$40)*Assumptions!$B$9))*Assumptions!$B$17)+((Assumptions!$B$30+Assumptions!$B$25)*Optimized!$B$6/1000*Assumptions!$B$16)+((Assumptions!$B$36+Assumptions!$B$38)*Optimized!$B$6))))</f>
        <v/>
      </c>
      <c r="C9" s="65">
        <f>IF((Baseline!$B$13-((MAX(0,(Assumptions!$B$29*(Assumptions!$B$13/Assumptions!$B$12)*Optimized!$B$6/1000)-((((Assumptions!$B$7*$A9*1000000000)/(Assumptions!$B$9*3600)/1000000*Assumptions!$B$39)*Assumptions!$B$40)*Assumptions!$B$9))*Assumptions!$B$17)+((Assumptions!$B$30+Assumptions!$B$25)*Optimized!$B$6/1000*Assumptions!$B$16)+((Assumptions!$B$36+Assumptions!$B$38)*Optimized!$B$6)))&lt;=0,"N/A",(((C$5*Optimized!$B$6)+(Assumptions!$B$41*((Assumptions!$B$7*$A9*1000000000)/(Assumptions!$B$9*3600)/1000000*Assumptions!$B$39))+Optimized!$B$26)-Assumptions!$B$45)/(Baseline!$B$13-((MAX(0,(Assumptions!$B$29*(Assumptions!$B$13/Assumptions!$B$12)*Optimized!$B$6/1000)-((((Assumptions!$B$7*$A9*1000000000)/(Assumptions!$B$9*3600)/1000000*Assumptions!$B$39)*Assumptions!$B$40)*Assumptions!$B$9))*Assumptions!$B$17)+((Assumptions!$B$30+Assumptions!$B$25)*Optimized!$B$6/1000*Assumptions!$B$16)+((Assumptions!$B$36+Assumptions!$B$38)*Optimized!$B$6))))</f>
        <v/>
      </c>
      <c r="D9" s="65">
        <f>IF((Baseline!$B$13-((MAX(0,(Assumptions!$B$29*(Assumptions!$B$13/Assumptions!$B$12)*Optimized!$B$6/1000)-((((Assumptions!$B$7*$A9*1000000000)/(Assumptions!$B$9*3600)/1000000*Assumptions!$B$39)*Assumptions!$B$40)*Assumptions!$B$9))*Assumptions!$B$17)+((Assumptions!$B$30+Assumptions!$B$25)*Optimized!$B$6/1000*Assumptions!$B$16)+((Assumptions!$B$36+Assumptions!$B$38)*Optimized!$B$6)))&lt;=0,"N/A",(((D$5*Optimized!$B$6)+(Assumptions!$B$41*((Assumptions!$B$7*$A9*1000000000)/(Assumptions!$B$9*3600)/1000000*Assumptions!$B$39))+Optimized!$B$26)-Assumptions!$B$45)/(Baseline!$B$13-((MAX(0,(Assumptions!$B$29*(Assumptions!$B$13/Assumptions!$B$12)*Optimized!$B$6/1000)-((((Assumptions!$B$7*$A9*1000000000)/(Assumptions!$B$9*3600)/1000000*Assumptions!$B$39)*Assumptions!$B$40)*Assumptions!$B$9))*Assumptions!$B$17)+((Assumptions!$B$30+Assumptions!$B$25)*Optimized!$B$6/1000*Assumptions!$B$16)+((Assumptions!$B$36+Assumptions!$B$38)*Optimized!$B$6))))</f>
        <v/>
      </c>
      <c r="E9" s="65">
        <f>IF((Baseline!$B$13-((MAX(0,(Assumptions!$B$29*(Assumptions!$B$13/Assumptions!$B$12)*Optimized!$B$6/1000)-((((Assumptions!$B$7*$A9*1000000000)/(Assumptions!$B$9*3600)/1000000*Assumptions!$B$39)*Assumptions!$B$40)*Assumptions!$B$9))*Assumptions!$B$17)+((Assumptions!$B$30+Assumptions!$B$25)*Optimized!$B$6/1000*Assumptions!$B$16)+((Assumptions!$B$36+Assumptions!$B$38)*Optimized!$B$6)))&lt;=0,"N/A",(((E$5*Optimized!$B$6)+(Assumptions!$B$41*((Assumptions!$B$7*$A9*1000000000)/(Assumptions!$B$9*3600)/1000000*Assumptions!$B$39))+Optimized!$B$26)-Assumptions!$B$45)/(Baseline!$B$13-((MAX(0,(Assumptions!$B$29*(Assumptions!$B$13/Assumptions!$B$12)*Optimized!$B$6/1000)-((((Assumptions!$B$7*$A9*1000000000)/(Assumptions!$B$9*3600)/1000000*Assumptions!$B$39)*Assumptions!$B$40)*Assumptions!$B$9))*Assumptions!$B$17)+((Assumptions!$B$30+Assumptions!$B$25)*Optimized!$B$6/1000*Assumptions!$B$16)+((Assumptions!$B$36+Assumptions!$B$38)*Optimized!$B$6))))</f>
        <v/>
      </c>
    </row>
    <row r="10" ht="15" customHeight="1" s="35">
      <c r="A10" s="64" t="n">
        <v>3.9</v>
      </c>
      <c r="B10" s="65">
        <f>IF((Baseline!$B$13-((MAX(0,(Assumptions!$B$29*(Assumptions!$B$13/Assumptions!$B$12)*Optimized!$B$6/1000)-((((Assumptions!$B$7*$A10*1000000000)/(Assumptions!$B$9*3600)/1000000*Assumptions!$B$39)*Assumptions!$B$40)*Assumptions!$B$9))*Assumptions!$B$17)+((Assumptions!$B$30+Assumptions!$B$25)*Optimized!$B$6/1000*Assumptions!$B$16)+((Assumptions!$B$36+Assumptions!$B$38)*Optimized!$B$6)))&lt;=0,"N/A",(((B$5*Optimized!$B$6)+(Assumptions!$B$41*((Assumptions!$B$7*$A10*1000000000)/(Assumptions!$B$9*3600)/1000000*Assumptions!$B$39))+Optimized!$B$26)-Assumptions!$B$45)/(Baseline!$B$13-((MAX(0,(Assumptions!$B$29*(Assumptions!$B$13/Assumptions!$B$12)*Optimized!$B$6/1000)-((((Assumptions!$B$7*$A10*1000000000)/(Assumptions!$B$9*3600)/1000000*Assumptions!$B$39)*Assumptions!$B$40)*Assumptions!$B$9))*Assumptions!$B$17)+((Assumptions!$B$30+Assumptions!$B$25)*Optimized!$B$6/1000*Assumptions!$B$16)+((Assumptions!$B$36+Assumptions!$B$38)*Optimized!$B$6))))</f>
        <v/>
      </c>
      <c r="C10" s="65">
        <f>IF((Baseline!$B$13-((MAX(0,(Assumptions!$B$29*(Assumptions!$B$13/Assumptions!$B$12)*Optimized!$B$6/1000)-((((Assumptions!$B$7*$A10*1000000000)/(Assumptions!$B$9*3600)/1000000*Assumptions!$B$39)*Assumptions!$B$40)*Assumptions!$B$9))*Assumptions!$B$17)+((Assumptions!$B$30+Assumptions!$B$25)*Optimized!$B$6/1000*Assumptions!$B$16)+((Assumptions!$B$36+Assumptions!$B$38)*Optimized!$B$6)))&lt;=0,"N/A",(((C$5*Optimized!$B$6)+(Assumptions!$B$41*((Assumptions!$B$7*$A10*1000000000)/(Assumptions!$B$9*3600)/1000000*Assumptions!$B$39))+Optimized!$B$26)-Assumptions!$B$45)/(Baseline!$B$13-((MAX(0,(Assumptions!$B$29*(Assumptions!$B$13/Assumptions!$B$12)*Optimized!$B$6/1000)-((((Assumptions!$B$7*$A10*1000000000)/(Assumptions!$B$9*3600)/1000000*Assumptions!$B$39)*Assumptions!$B$40)*Assumptions!$B$9))*Assumptions!$B$17)+((Assumptions!$B$30+Assumptions!$B$25)*Optimized!$B$6/1000*Assumptions!$B$16)+((Assumptions!$B$36+Assumptions!$B$38)*Optimized!$B$6))))</f>
        <v/>
      </c>
      <c r="D10" s="65">
        <f>IF((Baseline!$B$13-((MAX(0,(Assumptions!$B$29*(Assumptions!$B$13/Assumptions!$B$12)*Optimized!$B$6/1000)-((((Assumptions!$B$7*$A10*1000000000)/(Assumptions!$B$9*3600)/1000000*Assumptions!$B$39)*Assumptions!$B$40)*Assumptions!$B$9))*Assumptions!$B$17)+((Assumptions!$B$30+Assumptions!$B$25)*Optimized!$B$6/1000*Assumptions!$B$16)+((Assumptions!$B$36+Assumptions!$B$38)*Optimized!$B$6)))&lt;=0,"N/A",(((D$5*Optimized!$B$6)+(Assumptions!$B$41*((Assumptions!$B$7*$A10*1000000000)/(Assumptions!$B$9*3600)/1000000*Assumptions!$B$39))+Optimized!$B$26)-Assumptions!$B$45)/(Baseline!$B$13-((MAX(0,(Assumptions!$B$29*(Assumptions!$B$13/Assumptions!$B$12)*Optimized!$B$6/1000)-((((Assumptions!$B$7*$A10*1000000000)/(Assumptions!$B$9*3600)/1000000*Assumptions!$B$39)*Assumptions!$B$40)*Assumptions!$B$9))*Assumptions!$B$17)+((Assumptions!$B$30+Assumptions!$B$25)*Optimized!$B$6/1000*Assumptions!$B$16)+((Assumptions!$B$36+Assumptions!$B$38)*Optimized!$B$6))))</f>
        <v/>
      </c>
      <c r="E10" s="65">
        <f>IF((Baseline!$B$13-((MAX(0,(Assumptions!$B$29*(Assumptions!$B$13/Assumptions!$B$12)*Optimized!$B$6/1000)-((((Assumptions!$B$7*$A10*1000000000)/(Assumptions!$B$9*3600)/1000000*Assumptions!$B$39)*Assumptions!$B$40)*Assumptions!$B$9))*Assumptions!$B$17)+((Assumptions!$B$30+Assumptions!$B$25)*Optimized!$B$6/1000*Assumptions!$B$16)+((Assumptions!$B$36+Assumptions!$B$38)*Optimized!$B$6)))&lt;=0,"N/A",(((E$5*Optimized!$B$6)+(Assumptions!$B$41*((Assumptions!$B$7*$A10*1000000000)/(Assumptions!$B$9*3600)/1000000*Assumptions!$B$39))+Optimized!$B$26)-Assumptions!$B$45)/(Baseline!$B$13-((MAX(0,(Assumptions!$B$29*(Assumptions!$B$13/Assumptions!$B$12)*Optimized!$B$6/1000)-((((Assumptions!$B$7*$A10*1000000000)/(Assumptions!$B$9*3600)/1000000*Assumptions!$B$39)*Assumptions!$B$40)*Assumptions!$B$9))*Assumptions!$B$17)+((Assumptions!$B$30+Assumptions!$B$25)*Optimized!$B$6/1000*Assumptions!$B$16)+((Assumptions!$B$36+Assumptions!$B$38)*Optimized!$B$6))))</f>
        <v/>
      </c>
    </row>
    <row r="11" ht="15" customHeight="1" s="35">
      <c r="A11" s="64" t="n">
        <v>4</v>
      </c>
      <c r="B11" s="65">
        <f>IF((Baseline!$B$13-((MAX(0,(Assumptions!$B$29*(Assumptions!$B$13/Assumptions!$B$12)*Optimized!$B$6/1000)-((((Assumptions!$B$7*$A11*1000000000)/(Assumptions!$B$9*3600)/1000000*Assumptions!$B$39)*Assumptions!$B$40)*Assumptions!$B$9))*Assumptions!$B$17)+((Assumptions!$B$30+Assumptions!$B$25)*Optimized!$B$6/1000*Assumptions!$B$16)+((Assumptions!$B$36+Assumptions!$B$38)*Optimized!$B$6)))&lt;=0,"N/A",(((B$5*Optimized!$B$6)+(Assumptions!$B$41*((Assumptions!$B$7*$A11*1000000000)/(Assumptions!$B$9*3600)/1000000*Assumptions!$B$39))+Optimized!$B$26)-Assumptions!$B$45)/(Baseline!$B$13-((MAX(0,(Assumptions!$B$29*(Assumptions!$B$13/Assumptions!$B$12)*Optimized!$B$6/1000)-((((Assumptions!$B$7*$A11*1000000000)/(Assumptions!$B$9*3600)/1000000*Assumptions!$B$39)*Assumptions!$B$40)*Assumptions!$B$9))*Assumptions!$B$17)+((Assumptions!$B$30+Assumptions!$B$25)*Optimized!$B$6/1000*Assumptions!$B$16)+((Assumptions!$B$36+Assumptions!$B$38)*Optimized!$B$6))))</f>
        <v/>
      </c>
      <c r="C11" s="65">
        <f>IF((Baseline!$B$13-((MAX(0,(Assumptions!$B$29*(Assumptions!$B$13/Assumptions!$B$12)*Optimized!$B$6/1000)-((((Assumptions!$B$7*$A11*1000000000)/(Assumptions!$B$9*3600)/1000000*Assumptions!$B$39)*Assumptions!$B$40)*Assumptions!$B$9))*Assumptions!$B$17)+((Assumptions!$B$30+Assumptions!$B$25)*Optimized!$B$6/1000*Assumptions!$B$16)+((Assumptions!$B$36+Assumptions!$B$38)*Optimized!$B$6)))&lt;=0,"N/A",(((C$5*Optimized!$B$6)+(Assumptions!$B$41*((Assumptions!$B$7*$A11*1000000000)/(Assumptions!$B$9*3600)/1000000*Assumptions!$B$39))+Optimized!$B$26)-Assumptions!$B$45)/(Baseline!$B$13-((MAX(0,(Assumptions!$B$29*(Assumptions!$B$13/Assumptions!$B$12)*Optimized!$B$6/1000)-((((Assumptions!$B$7*$A11*1000000000)/(Assumptions!$B$9*3600)/1000000*Assumptions!$B$39)*Assumptions!$B$40)*Assumptions!$B$9))*Assumptions!$B$17)+((Assumptions!$B$30+Assumptions!$B$25)*Optimized!$B$6/1000*Assumptions!$B$16)+((Assumptions!$B$36+Assumptions!$B$38)*Optimized!$B$6))))</f>
        <v/>
      </c>
      <c r="D11" s="65">
        <f>IF((Baseline!$B$13-((MAX(0,(Assumptions!$B$29*(Assumptions!$B$13/Assumptions!$B$12)*Optimized!$B$6/1000)-((((Assumptions!$B$7*$A11*1000000000)/(Assumptions!$B$9*3600)/1000000*Assumptions!$B$39)*Assumptions!$B$40)*Assumptions!$B$9))*Assumptions!$B$17)+((Assumptions!$B$30+Assumptions!$B$25)*Optimized!$B$6/1000*Assumptions!$B$16)+((Assumptions!$B$36+Assumptions!$B$38)*Optimized!$B$6)))&lt;=0,"N/A",(((D$5*Optimized!$B$6)+(Assumptions!$B$41*((Assumptions!$B$7*$A11*1000000000)/(Assumptions!$B$9*3600)/1000000*Assumptions!$B$39))+Optimized!$B$26)-Assumptions!$B$45)/(Baseline!$B$13-((MAX(0,(Assumptions!$B$29*(Assumptions!$B$13/Assumptions!$B$12)*Optimized!$B$6/1000)-((((Assumptions!$B$7*$A11*1000000000)/(Assumptions!$B$9*3600)/1000000*Assumptions!$B$39)*Assumptions!$B$40)*Assumptions!$B$9))*Assumptions!$B$17)+((Assumptions!$B$30+Assumptions!$B$25)*Optimized!$B$6/1000*Assumptions!$B$16)+((Assumptions!$B$36+Assumptions!$B$38)*Optimized!$B$6))))</f>
        <v/>
      </c>
      <c r="E11" s="65">
        <f>IF((Baseline!$B$13-((MAX(0,(Assumptions!$B$29*(Assumptions!$B$13/Assumptions!$B$12)*Optimized!$B$6/1000)-((((Assumptions!$B$7*$A11*1000000000)/(Assumptions!$B$9*3600)/1000000*Assumptions!$B$39)*Assumptions!$B$40)*Assumptions!$B$9))*Assumptions!$B$17)+((Assumptions!$B$30+Assumptions!$B$25)*Optimized!$B$6/1000*Assumptions!$B$16)+((Assumptions!$B$36+Assumptions!$B$38)*Optimized!$B$6)))&lt;=0,"N/A",(((E$5*Optimized!$B$6)+(Assumptions!$B$41*((Assumptions!$B$7*$A11*1000000000)/(Assumptions!$B$9*3600)/1000000*Assumptions!$B$39))+Optimized!$B$26)-Assumptions!$B$45)/(Baseline!$B$13-((MAX(0,(Assumptions!$B$29*(Assumptions!$B$13/Assumptions!$B$12)*Optimized!$B$6/1000)-((((Assumptions!$B$7*$A11*1000000000)/(Assumptions!$B$9*3600)/1000000*Assumptions!$B$39)*Assumptions!$B$40)*Assumptions!$B$9))*Assumptions!$B$17)+((Assumptions!$B$30+Assumptions!$B$25)*Optimized!$B$6/1000*Assumptions!$B$16)+((Assumptions!$B$36+Assumptions!$B$38)*Optimized!$B$6))))</f>
        <v/>
      </c>
    </row>
    <row r="12" ht="15" customHeight="1" s="35">
      <c r="A12" s="64" t="n">
        <v>4.2</v>
      </c>
      <c r="B12" s="65">
        <f>IF((Baseline!$B$13-((MAX(0,(Assumptions!$B$29*(Assumptions!$B$13/Assumptions!$B$12)*Optimized!$B$6/1000)-((((Assumptions!$B$7*$A12*1000000000)/(Assumptions!$B$9*3600)/1000000*Assumptions!$B$39)*Assumptions!$B$40)*Assumptions!$B$9))*Assumptions!$B$17)+((Assumptions!$B$30+Assumptions!$B$25)*Optimized!$B$6/1000*Assumptions!$B$16)+((Assumptions!$B$36+Assumptions!$B$38)*Optimized!$B$6)))&lt;=0,"N/A",(((B$5*Optimized!$B$6)+(Assumptions!$B$41*((Assumptions!$B$7*$A12*1000000000)/(Assumptions!$B$9*3600)/1000000*Assumptions!$B$39))+Optimized!$B$26)-Assumptions!$B$45)/(Baseline!$B$13-((MAX(0,(Assumptions!$B$29*(Assumptions!$B$13/Assumptions!$B$12)*Optimized!$B$6/1000)-((((Assumptions!$B$7*$A12*1000000000)/(Assumptions!$B$9*3600)/1000000*Assumptions!$B$39)*Assumptions!$B$40)*Assumptions!$B$9))*Assumptions!$B$17)+((Assumptions!$B$30+Assumptions!$B$25)*Optimized!$B$6/1000*Assumptions!$B$16)+((Assumptions!$B$36+Assumptions!$B$38)*Optimized!$B$6))))</f>
        <v/>
      </c>
      <c r="C12" s="65">
        <f>IF((Baseline!$B$13-((MAX(0,(Assumptions!$B$29*(Assumptions!$B$13/Assumptions!$B$12)*Optimized!$B$6/1000)-((((Assumptions!$B$7*$A12*1000000000)/(Assumptions!$B$9*3600)/1000000*Assumptions!$B$39)*Assumptions!$B$40)*Assumptions!$B$9))*Assumptions!$B$17)+((Assumptions!$B$30+Assumptions!$B$25)*Optimized!$B$6/1000*Assumptions!$B$16)+((Assumptions!$B$36+Assumptions!$B$38)*Optimized!$B$6)))&lt;=0,"N/A",(((C$5*Optimized!$B$6)+(Assumptions!$B$41*((Assumptions!$B$7*$A12*1000000000)/(Assumptions!$B$9*3600)/1000000*Assumptions!$B$39))+Optimized!$B$26)-Assumptions!$B$45)/(Baseline!$B$13-((MAX(0,(Assumptions!$B$29*(Assumptions!$B$13/Assumptions!$B$12)*Optimized!$B$6/1000)-((((Assumptions!$B$7*$A12*1000000000)/(Assumptions!$B$9*3600)/1000000*Assumptions!$B$39)*Assumptions!$B$40)*Assumptions!$B$9))*Assumptions!$B$17)+((Assumptions!$B$30+Assumptions!$B$25)*Optimized!$B$6/1000*Assumptions!$B$16)+((Assumptions!$B$36+Assumptions!$B$38)*Optimized!$B$6))))</f>
        <v/>
      </c>
      <c r="D12" s="65">
        <f>IF((Baseline!$B$13-((MAX(0,(Assumptions!$B$29*(Assumptions!$B$13/Assumptions!$B$12)*Optimized!$B$6/1000)-((((Assumptions!$B$7*$A12*1000000000)/(Assumptions!$B$9*3600)/1000000*Assumptions!$B$39)*Assumptions!$B$40)*Assumptions!$B$9))*Assumptions!$B$17)+((Assumptions!$B$30+Assumptions!$B$25)*Optimized!$B$6/1000*Assumptions!$B$16)+((Assumptions!$B$36+Assumptions!$B$38)*Optimized!$B$6)))&lt;=0,"N/A",(((D$5*Optimized!$B$6)+(Assumptions!$B$41*((Assumptions!$B$7*$A12*1000000000)/(Assumptions!$B$9*3600)/1000000*Assumptions!$B$39))+Optimized!$B$26)-Assumptions!$B$45)/(Baseline!$B$13-((MAX(0,(Assumptions!$B$29*(Assumptions!$B$13/Assumptions!$B$12)*Optimized!$B$6/1000)-((((Assumptions!$B$7*$A12*1000000000)/(Assumptions!$B$9*3600)/1000000*Assumptions!$B$39)*Assumptions!$B$40)*Assumptions!$B$9))*Assumptions!$B$17)+((Assumptions!$B$30+Assumptions!$B$25)*Optimized!$B$6/1000*Assumptions!$B$16)+((Assumptions!$B$36+Assumptions!$B$38)*Optimized!$B$6))))</f>
        <v/>
      </c>
      <c r="E12" s="65">
        <f>IF((Baseline!$B$13-((MAX(0,(Assumptions!$B$29*(Assumptions!$B$13/Assumptions!$B$12)*Optimized!$B$6/1000)-((((Assumptions!$B$7*$A12*1000000000)/(Assumptions!$B$9*3600)/1000000*Assumptions!$B$39)*Assumptions!$B$40)*Assumptions!$B$9))*Assumptions!$B$17)+((Assumptions!$B$30+Assumptions!$B$25)*Optimized!$B$6/1000*Assumptions!$B$16)+((Assumptions!$B$36+Assumptions!$B$38)*Optimized!$B$6)))&lt;=0,"N/A",(((E$5*Optimized!$B$6)+(Assumptions!$B$41*((Assumptions!$B$7*$A12*1000000000)/(Assumptions!$B$9*3600)/1000000*Assumptions!$B$39))+Optimized!$B$26)-Assumptions!$B$45)/(Baseline!$B$13-((MAX(0,(Assumptions!$B$29*(Assumptions!$B$13/Assumptions!$B$12)*Optimized!$B$6/1000)-((((Assumptions!$B$7*$A12*1000000000)/(Assumptions!$B$9*3600)/1000000*Assumptions!$B$39)*Assumptions!$B$40)*Assumptions!$B$9))*Assumptions!$B$17)+((Assumptions!$B$30+Assumptions!$B$25)*Optimized!$B$6/1000*Assumptions!$B$16)+((Assumptions!$B$36+Assumptions!$B$38)*Optimized!$B$6))))</f>
        <v/>
      </c>
    </row>
    <row r="15" ht="15" customHeight="1" s="35">
      <c r="A15" s="41" t="inlineStr">
        <is>
          <t>TABLE 2 — Savings £/t vs electricity tariff and baseline amine opex (unmitigated SOx cost)</t>
        </is>
      </c>
      <c r="B15" s="42" t="n"/>
      <c r="C15" s="42" t="n"/>
      <c r="D15" s="42" t="n"/>
      <c r="E15" s="42" t="n"/>
      <c r="F15" s="42" t="n"/>
      <c r="G15" s="42" t="n"/>
      <c r="H15" s="42" t="n"/>
    </row>
    <row r="16" ht="15" customHeight="1" s="35">
      <c r="A16" s="40" t="inlineStr">
        <is>
          <t>Tariff \ SOx degradation risk D (£/t)</t>
        </is>
      </c>
      <c r="B16" s="66" t="n">
        <v>2.04</v>
      </c>
      <c r="C16" s="66" t="n">
        <v>3.28</v>
      </c>
      <c r="D16" s="66" t="n">
        <v>6.25</v>
      </c>
      <c r="E16" s="66" t="n">
        <v>14</v>
      </c>
      <c r="F16" s="66" t="n">
        <v>15</v>
      </c>
    </row>
    <row r="17" ht="15" customHeight="1" s="35">
      <c r="A17" s="63" t="n">
        <v>85</v>
      </c>
      <c r="B17" s="67">
        <f>(((Assumptions!$B$29*(Assumptions!$B$13/Assumptions!$B$12))*Assumptions!$B$17/1000)+((Assumptions!$B$30+Assumptions!$B$25)*$A17/1000)+B$16+Baseline!$B$19)-(((Optimized!$B$12*Assumptions!$B$17)/Optimized!$B$6)+((Assumptions!$B$30+Assumptions!$B$25)*$A17/1000)+(Assumptions!$B$36+Assumptions!$B$38)+Optimized!$B$33)</f>
        <v/>
      </c>
      <c r="C17" s="67">
        <f>(((Assumptions!$B$29*(Assumptions!$B$13/Assumptions!$B$12))*Assumptions!$B$17/1000)+((Assumptions!$B$30+Assumptions!$B$25)*$A17/1000)+C$16+Baseline!$B$19)-(((Optimized!$B$12*Assumptions!$B$17)/Optimized!$B$6)+((Assumptions!$B$30+Assumptions!$B$25)*$A17/1000)+(Assumptions!$B$36+Assumptions!$B$38)+Optimized!$B$33)</f>
        <v/>
      </c>
      <c r="D17" s="67">
        <f>(((Assumptions!$B$29*(Assumptions!$B$13/Assumptions!$B$12))*Assumptions!$B$17/1000)+((Assumptions!$B$30+Assumptions!$B$25)*$A17/1000)+D$16+Baseline!$B$19)-(((Optimized!$B$12*Assumptions!$B$17)/Optimized!$B$6)+((Assumptions!$B$30+Assumptions!$B$25)*$A17/1000)+(Assumptions!$B$36+Assumptions!$B$38)+Optimized!$B$33)</f>
        <v/>
      </c>
      <c r="E17" s="67">
        <f>(((Assumptions!$B$29*(Assumptions!$B$13/Assumptions!$B$12))*Assumptions!$B$17/1000)+((Assumptions!$B$30+Assumptions!$B$25)*$A17/1000)+E$16+Baseline!$B$19)-(((Optimized!$B$12*Assumptions!$B$17)/Optimized!$B$6)+((Assumptions!$B$30+Assumptions!$B$25)*$A17/1000)+(Assumptions!$B$36+Assumptions!$B$38)+Optimized!$B$33)</f>
        <v/>
      </c>
      <c r="F17" s="67">
        <f>(((Assumptions!$B$29*(Assumptions!$B$13/Assumptions!$B$12))*Assumptions!$B$17/1000)+((Assumptions!$B$30+Assumptions!$B$25)*$A17/1000)+F$16+Baseline!$B$19)-(((Optimized!$B$12*Assumptions!$B$17)/Optimized!$B$6)+((Assumptions!$B$30+Assumptions!$B$25)*$A17/1000)+(Assumptions!$B$36+Assumptions!$B$38)+Optimized!$B$33)</f>
        <v/>
      </c>
    </row>
    <row r="18" ht="15" customHeight="1" s="35">
      <c r="A18" s="63" t="n">
        <v>95</v>
      </c>
      <c r="B18" s="67">
        <f>(((Assumptions!$B$29*(Assumptions!$B$13/Assumptions!$B$12))*Assumptions!$B$17/1000)+((Assumptions!$B$30+Assumptions!$B$25)*$A18/1000)+B$16+Baseline!$B$19)-(((Optimized!$B$12*Assumptions!$B$17)/Optimized!$B$6)+((Assumptions!$B$30+Assumptions!$B$25)*$A18/1000)+(Assumptions!$B$36+Assumptions!$B$38)+Optimized!$B$33)</f>
        <v/>
      </c>
      <c r="C18" s="67">
        <f>(((Assumptions!$B$29*(Assumptions!$B$13/Assumptions!$B$12))*Assumptions!$B$17/1000)+((Assumptions!$B$30+Assumptions!$B$25)*$A18/1000)+C$16+Baseline!$B$19)-(((Optimized!$B$12*Assumptions!$B$17)/Optimized!$B$6)+((Assumptions!$B$30+Assumptions!$B$25)*$A18/1000)+(Assumptions!$B$36+Assumptions!$B$38)+Optimized!$B$33)</f>
        <v/>
      </c>
      <c r="D18" s="67">
        <f>(((Assumptions!$B$29*(Assumptions!$B$13/Assumptions!$B$12))*Assumptions!$B$17/1000)+((Assumptions!$B$30+Assumptions!$B$25)*$A18/1000)+D$16+Baseline!$B$19)-(((Optimized!$B$12*Assumptions!$B$17)/Optimized!$B$6)+((Assumptions!$B$30+Assumptions!$B$25)*$A18/1000)+(Assumptions!$B$36+Assumptions!$B$38)+Optimized!$B$33)</f>
        <v/>
      </c>
      <c r="E18" s="67">
        <f>(((Assumptions!$B$29*(Assumptions!$B$13/Assumptions!$B$12))*Assumptions!$B$17/1000)+((Assumptions!$B$30+Assumptions!$B$25)*$A18/1000)+E$16+Baseline!$B$19)-(((Optimized!$B$12*Assumptions!$B$17)/Optimized!$B$6)+((Assumptions!$B$30+Assumptions!$B$25)*$A18/1000)+(Assumptions!$B$36+Assumptions!$B$38)+Optimized!$B$33)</f>
        <v/>
      </c>
      <c r="F18" s="67">
        <f>(((Assumptions!$B$29*(Assumptions!$B$13/Assumptions!$B$12))*Assumptions!$B$17/1000)+((Assumptions!$B$30+Assumptions!$B$25)*$A18/1000)+F$16+Baseline!$B$19)-(((Optimized!$B$12*Assumptions!$B$17)/Optimized!$B$6)+((Assumptions!$B$30+Assumptions!$B$25)*$A18/1000)+(Assumptions!$B$36+Assumptions!$B$38)+Optimized!$B$33)</f>
        <v/>
      </c>
    </row>
    <row r="19" ht="15" customHeight="1" s="35">
      <c r="A19" s="63" t="n">
        <v>105</v>
      </c>
      <c r="B19" s="67">
        <f>(((Assumptions!$B$29*(Assumptions!$B$13/Assumptions!$B$12))*Assumptions!$B$17/1000)+((Assumptions!$B$30+Assumptions!$B$25)*$A19/1000)+B$16+Baseline!$B$19)-(((Optimized!$B$12*Assumptions!$B$17)/Optimized!$B$6)+((Assumptions!$B$30+Assumptions!$B$25)*$A19/1000)+(Assumptions!$B$36+Assumptions!$B$38)+Optimized!$B$33)</f>
        <v/>
      </c>
      <c r="C19" s="67">
        <f>(((Assumptions!$B$29*(Assumptions!$B$13/Assumptions!$B$12))*Assumptions!$B$17/1000)+((Assumptions!$B$30+Assumptions!$B$25)*$A19/1000)+C$16+Baseline!$B$19)-(((Optimized!$B$12*Assumptions!$B$17)/Optimized!$B$6)+((Assumptions!$B$30+Assumptions!$B$25)*$A19/1000)+(Assumptions!$B$36+Assumptions!$B$38)+Optimized!$B$33)</f>
        <v/>
      </c>
      <c r="D19" s="67">
        <f>(((Assumptions!$B$29*(Assumptions!$B$13/Assumptions!$B$12))*Assumptions!$B$17/1000)+((Assumptions!$B$30+Assumptions!$B$25)*$A19/1000)+D$16+Baseline!$B$19)-(((Optimized!$B$12*Assumptions!$B$17)/Optimized!$B$6)+((Assumptions!$B$30+Assumptions!$B$25)*$A19/1000)+(Assumptions!$B$36+Assumptions!$B$38)+Optimized!$B$33)</f>
        <v/>
      </c>
      <c r="E19" s="67">
        <f>(((Assumptions!$B$29*(Assumptions!$B$13/Assumptions!$B$12))*Assumptions!$B$17/1000)+((Assumptions!$B$30+Assumptions!$B$25)*$A19/1000)+E$16+Baseline!$B$19)-(((Optimized!$B$12*Assumptions!$B$17)/Optimized!$B$6)+((Assumptions!$B$30+Assumptions!$B$25)*$A19/1000)+(Assumptions!$B$36+Assumptions!$B$38)+Optimized!$B$33)</f>
        <v/>
      </c>
      <c r="F19" s="67">
        <f>(((Assumptions!$B$29*(Assumptions!$B$13/Assumptions!$B$12))*Assumptions!$B$17/1000)+((Assumptions!$B$30+Assumptions!$B$25)*$A19/1000)+F$16+Baseline!$B$19)-(((Optimized!$B$12*Assumptions!$B$17)/Optimized!$B$6)+((Assumptions!$B$30+Assumptions!$B$25)*$A19/1000)+(Assumptions!$B$36+Assumptions!$B$38)+Optimized!$B$33)</f>
        <v/>
      </c>
    </row>
    <row r="20" ht="15" customHeight="1" s="35">
      <c r="A20" s="63" t="n">
        <v>115</v>
      </c>
      <c r="B20" s="67">
        <f>(((Assumptions!$B$29*(Assumptions!$B$13/Assumptions!$B$12))*Assumptions!$B$17/1000)+((Assumptions!$B$30+Assumptions!$B$25)*$A20/1000)+B$16+Baseline!$B$19)-(((Optimized!$B$12*Assumptions!$B$17)/Optimized!$B$6)+((Assumptions!$B$30+Assumptions!$B$25)*$A20/1000)+(Assumptions!$B$36+Assumptions!$B$38)+Optimized!$B$33)</f>
        <v/>
      </c>
      <c r="C20" s="67">
        <f>(((Assumptions!$B$29*(Assumptions!$B$13/Assumptions!$B$12))*Assumptions!$B$17/1000)+((Assumptions!$B$30+Assumptions!$B$25)*$A20/1000)+C$16+Baseline!$B$19)-(((Optimized!$B$12*Assumptions!$B$17)/Optimized!$B$6)+((Assumptions!$B$30+Assumptions!$B$25)*$A20/1000)+(Assumptions!$B$36+Assumptions!$B$38)+Optimized!$B$33)</f>
        <v/>
      </c>
      <c r="D20" s="67">
        <f>(((Assumptions!$B$29*(Assumptions!$B$13/Assumptions!$B$12))*Assumptions!$B$17/1000)+((Assumptions!$B$30+Assumptions!$B$25)*$A20/1000)+D$16+Baseline!$B$19)-(((Optimized!$B$12*Assumptions!$B$17)/Optimized!$B$6)+((Assumptions!$B$30+Assumptions!$B$25)*$A20/1000)+(Assumptions!$B$36+Assumptions!$B$38)+Optimized!$B$33)</f>
        <v/>
      </c>
      <c r="E20" s="67">
        <f>(((Assumptions!$B$29*(Assumptions!$B$13/Assumptions!$B$12))*Assumptions!$B$17/1000)+((Assumptions!$B$30+Assumptions!$B$25)*$A20/1000)+E$16+Baseline!$B$19)-(((Optimized!$B$12*Assumptions!$B$17)/Optimized!$B$6)+((Assumptions!$B$30+Assumptions!$B$25)*$A20/1000)+(Assumptions!$B$36+Assumptions!$B$38)+Optimized!$B$33)</f>
        <v/>
      </c>
      <c r="F20" s="67">
        <f>(((Assumptions!$B$29*(Assumptions!$B$13/Assumptions!$B$12))*Assumptions!$B$17/1000)+((Assumptions!$B$30+Assumptions!$B$25)*$A20/1000)+F$16+Baseline!$B$19)-(((Optimized!$B$12*Assumptions!$B$17)/Optimized!$B$6)+((Assumptions!$B$30+Assumptions!$B$25)*$A20/1000)+(Assumptions!$B$36+Assumptions!$B$38)+Optimized!$B$33)</f>
        <v/>
      </c>
    </row>
    <row r="21" ht="15" customHeight="1" s="35">
      <c r="A21" s="63" t="n">
        <v>125</v>
      </c>
      <c r="B21" s="67">
        <f>(((Assumptions!$B$29*(Assumptions!$B$13/Assumptions!$B$12))*Assumptions!$B$17/1000)+((Assumptions!$B$30+Assumptions!$B$25)*$A21/1000)+B$16+Baseline!$B$19)-(((Optimized!$B$12*Assumptions!$B$17)/Optimized!$B$6)+((Assumptions!$B$30+Assumptions!$B$25)*$A21/1000)+(Assumptions!$B$36+Assumptions!$B$38)+Optimized!$B$33)</f>
        <v/>
      </c>
      <c r="C21" s="67">
        <f>(((Assumptions!$B$29*(Assumptions!$B$13/Assumptions!$B$12))*Assumptions!$B$17/1000)+((Assumptions!$B$30+Assumptions!$B$25)*$A21/1000)+C$16+Baseline!$B$19)-(((Optimized!$B$12*Assumptions!$B$17)/Optimized!$B$6)+((Assumptions!$B$30+Assumptions!$B$25)*$A21/1000)+(Assumptions!$B$36+Assumptions!$B$38)+Optimized!$B$33)</f>
        <v/>
      </c>
      <c r="D21" s="67">
        <f>(((Assumptions!$B$29*(Assumptions!$B$13/Assumptions!$B$12))*Assumptions!$B$17/1000)+((Assumptions!$B$30+Assumptions!$B$25)*$A21/1000)+D$16+Baseline!$B$19)-(((Optimized!$B$12*Assumptions!$B$17)/Optimized!$B$6)+((Assumptions!$B$30+Assumptions!$B$25)*$A21/1000)+(Assumptions!$B$36+Assumptions!$B$38)+Optimized!$B$33)</f>
        <v/>
      </c>
      <c r="E21" s="67">
        <f>(((Assumptions!$B$29*(Assumptions!$B$13/Assumptions!$B$12))*Assumptions!$B$17/1000)+((Assumptions!$B$30+Assumptions!$B$25)*$A21/1000)+E$16+Baseline!$B$19)-(((Optimized!$B$12*Assumptions!$B$17)/Optimized!$B$6)+((Assumptions!$B$30+Assumptions!$B$25)*$A21/1000)+(Assumptions!$B$36+Assumptions!$B$38)+Optimized!$B$33)</f>
        <v/>
      </c>
      <c r="F21" s="67">
        <f>(((Assumptions!$B$29*(Assumptions!$B$13/Assumptions!$B$12))*Assumptions!$B$17/1000)+((Assumptions!$B$30+Assumptions!$B$25)*$A21/1000)+F$16+Baseline!$B$19)-(((Optimized!$B$12*Assumptions!$B$17)/Optimized!$B$6)+((Assumptions!$B$30+Assumptions!$B$25)*$A21/1000)+(Assumptions!$B$36+Assumptions!$B$38)+Optimized!$B$33)</f>
        <v/>
      </c>
    </row>
    <row r="22" ht="15" customHeight="1" s="35">
      <c r="A22" s="63" t="n">
        <v>140</v>
      </c>
      <c r="B22" s="67">
        <f>(((Assumptions!$B$29*(Assumptions!$B$13/Assumptions!$B$12))*Assumptions!$B$17/1000)+((Assumptions!$B$30+Assumptions!$B$25)*$A22/1000)+B$16+Baseline!$B$19)-(((Optimized!$B$12*Assumptions!$B$17)/Optimized!$B$6)+((Assumptions!$B$30+Assumptions!$B$25)*$A22/1000)+(Assumptions!$B$36+Assumptions!$B$38)+Optimized!$B$33)</f>
        <v/>
      </c>
      <c r="C22" s="67">
        <f>(((Assumptions!$B$29*(Assumptions!$B$13/Assumptions!$B$12))*Assumptions!$B$17/1000)+((Assumptions!$B$30+Assumptions!$B$25)*$A22/1000)+C$16+Baseline!$B$19)-(((Optimized!$B$12*Assumptions!$B$17)/Optimized!$B$6)+((Assumptions!$B$30+Assumptions!$B$25)*$A22/1000)+(Assumptions!$B$36+Assumptions!$B$38)+Optimized!$B$33)</f>
        <v/>
      </c>
      <c r="D22" s="67">
        <f>(((Assumptions!$B$29*(Assumptions!$B$13/Assumptions!$B$12))*Assumptions!$B$17/1000)+((Assumptions!$B$30+Assumptions!$B$25)*$A22/1000)+D$16+Baseline!$B$19)-(((Optimized!$B$12*Assumptions!$B$17)/Optimized!$B$6)+((Assumptions!$B$30+Assumptions!$B$25)*$A22/1000)+(Assumptions!$B$36+Assumptions!$B$38)+Optimized!$B$33)</f>
        <v/>
      </c>
      <c r="E22" s="67">
        <f>(((Assumptions!$B$29*(Assumptions!$B$13/Assumptions!$B$12))*Assumptions!$B$17/1000)+((Assumptions!$B$30+Assumptions!$B$25)*$A22/1000)+E$16+Baseline!$B$19)-(((Optimized!$B$12*Assumptions!$B$17)/Optimized!$B$6)+((Assumptions!$B$30+Assumptions!$B$25)*$A22/1000)+(Assumptions!$B$36+Assumptions!$B$38)+Optimized!$B$33)</f>
        <v/>
      </c>
      <c r="F22" s="67">
        <f>(((Assumptions!$B$29*(Assumptions!$B$13/Assumptions!$B$12))*Assumptions!$B$17/1000)+((Assumptions!$B$30+Assumptions!$B$25)*$A22/1000)+F$16+Baseline!$B$19)-(((Optimized!$B$12*Assumptions!$B$17)/Optimized!$B$6)+((Assumptions!$B$30+Assumptions!$B$25)*$A22/1000)+(Assumptions!$B$36+Assumptions!$B$38)+Optimized!$B$33)</f>
        <v/>
      </c>
    </row>
    <row r="25" ht="45" customHeight="1" s="35">
      <c r="A25" s="68" t="inlineStr">
        <is>
          <t>Table 1: B5=0 is the CENTRAL case (standard integrated DCC+caustic assumed sufficient, already inside the £399.6M baseline — payback driven only by specific heat/WHR uncertainty). C5/D5 model the DOWNSIDE scenario where a standalone SOx polisher turns out necessary (~10% probability per the Monte Carlo notebook) — a discrete risk, not a continuous central-case assumption. Table 2 isolates how much saving comes from the SOx degradation-risk assumption (D) alone vs the WHR thermal mechanism.</t>
        </is>
      </c>
    </row>
  </sheetData>
  <mergeCells count="1">
    <mergeCell ref="A25:H2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2026-08-14T14:07:52Z</dcterms:created>
  <dcterms:modified xmlns:dcterms="http://purl.org/dc/terms/" xmlns:xsi="http://www.w3.org/2001/XMLSchema-instance" xsi:type="dcterms:W3CDTF">2026-08-15T15:18:44Z</dcterms:modified>
  <cp:revision>1</cp:revision>
</cp:coreProperties>
</file>
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Optimized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Sensitivit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£#,##0"/>
    <numFmt numFmtId="166" formatCode="\£#,##0.00"/>
    <numFmt numFmtId="167" formatCode="0.000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008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i val="1"/>
      <color rgb="FF666666"/>
      <sz val="9"/>
    </font>
  </fonts>
  <fills count="5">
    <fill>
      <patternFill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6" fillId="4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general" vertical="bottom"/>
    </xf>
    <xf numFmtId="49" fontId="12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6" fillId="4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general" vertical="bottom"/>
    </xf>
    <xf numFmtId="49" fontId="12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All-in levelized cost: £/tonne CO2 to pipeline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Comparison!$A$7:$A$8</f>
              <strCache>
                <ptCount val="2"/>
                <pt idx="0">
                  <v>Baseline (amine) — all-in £/t</v>
                </pt>
                <pt idx="1">
                  <v>Optimized (oxy-fuel+WHR+BESS) — all-in £/t</v>
                </pt>
              </strCache>
            </strRef>
          </cat>
          <val>
            <numRef>
              <f>Comparison!$B$7:$B$8</f>
              <numCache>
                <formatCode>\£#,##0.00</formatCode>
                <ptCount val="2"/>
                <pt idx="0">
                  <v>90.09270682340819</v>
                </pt>
                <pt idx="1">
                  <v>32.9858511362229</v>
                </pt>
              </numCache>
            </numRef>
          </val>
        </ser>
        <gapWidth val="150"/>
        <overlap val="0"/>
        <axId val="33302863"/>
        <axId val="16132270"/>
      </barChart>
      <catAx>
        <axId val="3330286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Pathway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6132270"/>
        <crosses val="autoZero"/>
        <auto val="1"/>
        <lblAlgn val="ctr"/>
        <lblOffset val="100"/>
        <noMultiLvlLbl val="0"/>
      </catAx>
      <valAx>
        <axId val="161322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£ / tonne CO2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£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330286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5</row>
      <rowOff>0</rowOff>
    </from>
    <to>
      <col>13</col>
      <colOff>147600</colOff>
      <row>22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35" min="1" max="1"/>
  </cols>
  <sheetData>
    <row r="1" ht="17.35" customHeight="1" s="36">
      <c r="A1" s="37" t="inlineStr">
        <is>
          <t>Peak Cluster Feedstock De-Risking Model</t>
        </is>
      </c>
    </row>
    <row r="2" ht="15" customHeight="1" s="36">
      <c r="A2" s="38" t="inlineStr">
        <is>
          <t>Oxy-fuel + Waste Heat Recovery vs. Baseline Amine Capture — CapEx/OpEx trade-off calculator</t>
        </is>
      </c>
    </row>
    <row r="3" ht="15" customHeight="1" s="36">
      <c r="A3" s="38" t="inlineStr">
        <is>
          <t>Built for: Peak District cement/lime quarry sites feeding the Peak Cluster CO2 pipeline</t>
        </is>
      </c>
    </row>
    <row r="5" ht="15" customHeight="1" s="36">
      <c r="A5" s="39" t="inlineStr">
        <is>
          <t>PURPOSE</t>
        </is>
      </c>
    </row>
    <row r="6" ht="27.75" customHeight="1" s="36">
      <c r="A6" s="40" t="inlineStr">
        <is>
          <t>This model quantifies the operating-cost case for treating flue gas with oxy-fuel combustion + waste heat recovery (WHR) + BESS load-shifting, INSTEAD OF conventional amine scrubbing, before compressing CO2 into the Peak Cluster pipeline. It does not model an alternative to the pipeline — it assumes the pipeline is built and asks: which on-site pre-treatment package is cheaper to feed it.</t>
        </is>
      </c>
    </row>
    <row r="8" ht="15" customHeight="1" s="36">
      <c r="A8" s="39" t="inlineStr">
        <is>
          <t>HOW TO USE</t>
        </is>
      </c>
    </row>
    <row r="9" ht="15" customHeight="1" s="36">
      <c r="A9" s="40" t="inlineStr">
        <is>
          <t>1. Edit only the blue cells on the 'Assumptions' tab — these are the levers.</t>
        </is>
      </c>
    </row>
    <row r="10" ht="27.75" customHeight="1" s="36">
      <c r="A10" s="40" t="inlineStr">
        <is>
          <t>2. 'Baseline' and 'Optimized' tabs calculate each pathway automatically from those assumptions.</t>
        </is>
      </c>
    </row>
    <row r="11" ht="15" customHeight="1" s="36">
      <c r="A11" s="40" t="inlineStr">
        <is>
          <t>3. 'Comparison' tab shows capex delta, opex savings and simple payback.</t>
        </is>
      </c>
    </row>
    <row r="12" ht="27.75" customHeight="1" s="36">
      <c r="A12" s="40" t="inlineStr">
        <is>
          <t>4. 'Sensitivity' tab stress-tests the two least certain inputs: electricity tariff / flue gas dilution, and the oxy-fuel O2 demand ratio / ASU efficiency.</t>
        </is>
      </c>
    </row>
    <row r="14" ht="15" customHeight="1" s="36">
      <c r="A14" s="39" t="inlineStr">
        <is>
          <t>CONFIDENCE LEVELS — READ BEFORE PRESENTING THIS EXTERNALLY</t>
        </is>
      </c>
    </row>
    <row r="15" ht="27.75" customHeight="1" s="36">
      <c r="A15" s="40" t="inlineStr">
        <is>
          <t>HIGH confidence (published benchmarks, cited on Assumptions tab): CO2 compression energy, amine reboiler duty, cryogenic ASU specific energy, ORC capex, UK ETS price, UK industrial electricity tariff range.</t>
        </is>
      </c>
    </row>
    <row r="16" ht="27.75" customHeight="1" s="36">
      <c r="A16" s="40" t="inlineStr">
        <is>
          <t>MEDIUM confidence (industry rule-of-thumb, plant-specific in reality): amine plant capex, ASU capex, O2 demand ratio for oxy-fuel retrofit, waste-heat-recoverable fraction.</t>
        </is>
      </c>
    </row>
    <row r="17" ht="27.75" customHeight="1" s="36">
      <c r="A17" s="40" t="inlineStr">
        <is>
          <t>LOW confidence / PLACEHOLDER (no public benchmark found — needs a vendor FEED study or DNO quote before this goes into a board paper): oxy-fuel kiln/burner retrofit capex, avoided grid-reinforcement value, non-energy opex for both pathways.</t>
        </is>
      </c>
    </row>
    <row r="19" ht="15" customHeight="1" s="36">
      <c r="A19" s="39" t="inlineStr">
        <is>
          <t>KEY SOURCES</t>
        </is>
      </c>
    </row>
    <row r="20" ht="27.75" customHeight="1" s="36">
      <c r="A20" s="40" t="inlineStr">
        <is>
          <t>- CO2 compression to pipeline spec (~90-120 kWh/t): standard industry range, consistent with IEAGHG-type CCS cost studies.</t>
        </is>
      </c>
    </row>
    <row r="21" ht="27.75" customHeight="1" s="36">
      <c r="A21" s="40" t="inlineStr">
        <is>
          <t>- Amine reboiler duty (~3.0-3.5 GJ/t CO2, ~830-970 kWh-th/t): typical MEA post-combustion capture literature.</t>
        </is>
      </c>
    </row>
    <row r="22" ht="27.75" customHeight="1" s="36">
      <c r="A22" s="40" t="inlineStr">
        <is>
          <t>- Amine capex real-world benchmark (~$400/Tpa) and marginal cost ($90/t CO2 cement, dropping to ~$50/t with oxy-fuel-assisted heating): Thunder Said Energy, 'Costs of amine process CCS'.</t>
        </is>
      </c>
    </row>
    <row r="23" ht="27.75" customHeight="1" s="36">
      <c r="A23" s="40" t="inlineStr">
        <is>
          <t>- Cement kiln flue gas CO2 concentration (14-35% baseline; &gt;80% with oxy-fuel retrofit) and integrated oxyfuel+calcium-looping energy (~1.45 GJ/t CO2): EU CEMCAP project (SINTEF).</t>
        </is>
      </c>
    </row>
    <row r="24" ht="27.75" customHeight="1" s="36">
      <c r="A24" s="40" t="inlineStr">
        <is>
          <t>- Cryogenic ASU specific energy (250-500 kWh/t O2 in practice, 51 kWh/t theoretical minimum) and capex (~$200/Tpa O2): Thunder Said Energy, 'Costs of cryogenic air separation'.</t>
        </is>
      </c>
    </row>
    <row r="25" ht="27.75" customHeight="1" s="36">
      <c r="A25" s="40" t="inlineStr">
        <is>
          <t>- Cement plant waste heat: 30-40% of kiln/clinker-cooler heat wasted pre-WHR; ORC capex $1.8-3.2M/MWe; typical 1 Mtpa plant WHR installation 7-13 MWe with 14-30 month payback: World Cement / Turboden / cement industry WHR literature.</t>
        </is>
      </c>
    </row>
    <row r="26" ht="27.75" customHeight="1" s="36">
      <c r="A26" s="40" t="inlineStr">
        <is>
          <t>- UK industrial electricity: extra-large users ~12p/kWh (2025), large fixed users 18-24p/kWh, Supercharger scheme rate 8.6p/kWh from 2026 for qualifying energy-intensive industry.</t>
        </is>
      </c>
    </row>
    <row r="27" ht="15" customHeight="1" s="36">
      <c r="A27" s="40" t="inlineStr">
        <is>
          <t>- UK ETS 2026 civil penalty carbon price: £49.41/tonne (UK ETS Authority).</t>
        </is>
      </c>
    </row>
    <row r="28" ht="27.75" customHeight="1" s="36">
      <c r="A28" s="40" t="inlineStr">
        <is>
          <t>- BESS installed capex: £200-450/kWh commercial/industrial scale, falling toward £100-125/kWh at grid scale.</t>
        </is>
      </c>
    </row>
    <row r="29" ht="27.75" customHeight="1" s="36">
      <c r="A29" s="40" t="inlineStr">
        <is>
          <t>- UK grid connection queue: historic waits up to 10-15 years; 2025-26 reforms prioritise 'strategic demand' but queue remains a live risk — this is what the BESS/grid-queue-bypass line is pricing against.</t>
        </is>
      </c>
    </row>
    <row r="31" ht="15" customHeight="1" s="36">
      <c r="A31" s="39" t="inlineStr">
        <is>
          <t>WHAT THIS MODEL DELIBERATELY SIMPLIFIES</t>
        </is>
      </c>
    </row>
    <row r="32" ht="27.75" customHeight="1" s="36">
      <c r="A32" s="40" t="inlineStr">
        <is>
          <t>- Amine reboiler duty is scaled inversely with flue gas CO2% relative to a 20% reference point (more dilute gas = more solvent circulation per tonne CO2 captured). This is a simplification of a real but non-linear relationship — treat the Sensitivity tab as directional, not a substitute for a vendor performance curve.</t>
        </is>
      </c>
    </row>
    <row r="33" ht="27.75" customHeight="1" s="36">
      <c r="A33" s="40" t="inlineStr">
        <is>
          <t>- Oxy-fuel performance is treated as independent of the ORIGINAL (pre-retrofit) flue gas dilution, since combustion is now happening in a controlled O2 atmosphere.</t>
        </is>
      </c>
    </row>
    <row r="34" ht="27.75" customHeight="1" s="36">
      <c r="A34" s="40" t="inlineStr">
        <is>
          <t>- WHR-generated electricity is netted against the optimized case's own ASU/compression/purification load only (no export credit assumed for any surplus).</t>
        </is>
      </c>
    </row>
    <row r="35" ht="27.75" customHeight="1" s="36">
      <c r="A35" s="40" t="inlineStr">
        <is>
          <t>- All results are nominal (today's £), not inflation-adjusted; a real discount rate is used to annualize capex.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35" min="1" max="1"/>
    <col width="14" customWidth="1" style="35" min="2" max="2"/>
    <col width="16" customWidth="1" style="35" min="3" max="3"/>
    <col width="70" customWidth="1" style="35" min="4" max="4"/>
  </cols>
  <sheetData>
    <row r="1" ht="17.35" customHeight="1" s="36">
      <c r="A1" s="37" t="inlineStr">
        <is>
          <t>Assumptions</t>
        </is>
      </c>
    </row>
    <row r="2" ht="15" customHeight="1" s="36">
      <c r="A2" s="38" t="inlineStr">
        <is>
          <t>Edit only the blue values in column B. UPDATED for Hope Cement Works (Breedon, Derbyshire) — see notes in column D for what changed and why. O2 ratio and oxy-fuel retrofit capex (rows 32/36) remain unresolved placeholders.</t>
        </is>
      </c>
    </row>
    <row r="4" ht="15" customHeight="1" s="36">
      <c r="A4" s="41" t="inlineStr">
        <is>
          <t>Parameter</t>
        </is>
      </c>
      <c r="B4" s="41" t="inlineStr">
        <is>
          <t>Value</t>
        </is>
      </c>
      <c r="C4" s="41" t="inlineStr">
        <is>
          <t>Unit</t>
        </is>
      </c>
      <c r="D4" s="41" t="inlineStr">
        <is>
          <t>Source / Confidence</t>
        </is>
      </c>
    </row>
    <row r="6" ht="15" customHeight="1" s="36">
      <c r="A6" s="42" t="inlineStr">
        <is>
          <t>SITE &amp; TARGET</t>
        </is>
      </c>
      <c r="B6" s="43" t="n"/>
      <c r="C6" s="43" t="n"/>
      <c r="D6" s="43" t="n"/>
    </row>
    <row r="7" ht="15" customHeight="1" s="36">
      <c r="A7" s="44" t="inlineStr">
        <is>
          <t>Kiln thermal rating</t>
        </is>
      </c>
      <c r="B7" s="45" t="n">
        <v>140</v>
      </c>
      <c r="C7" s="44" t="inlineStr">
        <is>
          <t>MWth</t>
        </is>
      </c>
      <c r="D7" s="46" t="inlineStr">
        <is>
          <t>MEDIUM — calculated estimate: 1.5Mt cement/yr x ~0.85 clinker ratio x 3.2 GJ/t (precalciner benchmark) / 8,000 op-hrs. NOT a confirmed nameplate figure — Breedon/EA haven't published kiln MWth.</t>
        </is>
      </c>
    </row>
    <row r="8" ht="15" customHeight="1" s="36">
      <c r="A8" s="44" t="inlineStr">
        <is>
          <t>Target annual CO2 to pipeline</t>
        </is>
      </c>
      <c r="B8" s="47" t="n">
        <v>1200000</v>
      </c>
      <c r="C8" s="44" t="inlineStr">
        <is>
          <t>t/yr</t>
        </is>
      </c>
      <c r="D8" s="46" t="inlineStr">
        <is>
          <t>HIGH — Hope Valley Climate Action: Hope Cement Works is "by far the largest emitter of greenhouse gases in the Hope Valley", ~1.2Mt CO2/yr</t>
        </is>
      </c>
    </row>
    <row r="9" ht="15" customHeight="1" s="36">
      <c r="A9" s="44" t="inlineStr">
        <is>
          <t>Baseline flue gas CO2 concentration</t>
        </is>
      </c>
      <c r="B9" s="48" t="n">
        <v>0.2</v>
      </c>
      <c r="C9" s="44" t="inlineStr">
        <is>
          <t>%</t>
        </is>
      </c>
      <c r="D9" s="46" t="inlineStr">
        <is>
          <t>MEDIUM — sourcing-table proxy for CEMENT kilns specifically (18-22%); Hope is cement-only, no lime co-production, so the 25-35% lime proxy doesn't apply here</t>
        </is>
      </c>
    </row>
    <row r="10" ht="15" customHeight="1" s="36">
      <c r="A10" s="44" t="inlineStr">
        <is>
          <t>Oxy-fuel flue gas CO2 concentration achieved</t>
        </is>
      </c>
      <c r="B10" s="48" t="n">
        <v>0.85</v>
      </c>
      <c r="C10" s="44" t="inlineStr">
        <is>
          <t>%</t>
        </is>
      </c>
      <c r="D10" s="46" t="inlineStr">
        <is>
          <t>Oxy-fuel retrofit pushes CO2 &gt;80% (CEMCAP)</t>
        </is>
      </c>
    </row>
    <row r="11" ht="15" customHeight="1" s="36">
      <c r="A11" s="44" t="inlineStr">
        <is>
          <t>Reference CO2% used to scale amine energy penalty</t>
        </is>
      </c>
      <c r="B11" s="48" t="n">
        <v>0.2</v>
      </c>
      <c r="C11" s="44" t="inlineStr">
        <is>
          <t>%</t>
        </is>
      </c>
      <c r="D11" s="46" t="inlineStr">
        <is>
          <t>Modelling reference point — see README simplifications</t>
        </is>
      </c>
    </row>
    <row r="13" ht="15" customHeight="1" s="36">
      <c r="A13" s="42" t="inlineStr">
        <is>
          <t>PRICES</t>
        </is>
      </c>
      <c r="B13" s="43" t="n"/>
      <c r="C13" s="43" t="n"/>
      <c r="D13" s="43" t="n"/>
    </row>
    <row r="14" ht="22.35" customHeight="1" s="36">
      <c r="A14" s="44" t="inlineStr">
        <is>
          <t>Grid electricity tariff</t>
        </is>
      </c>
      <c r="B14" s="49" t="n">
        <v>100</v>
      </c>
      <c r="C14" s="44" t="inlineStr">
        <is>
          <t>£/MWh</t>
        </is>
      </c>
      <c r="D14" s="46" t="inlineStr">
        <is>
          <t>MEDIUM — UK large industrial users ~86-240 £/MWh (Supercharger to standard large-fixed); site-specific contract needed</t>
        </is>
      </c>
    </row>
    <row r="15" ht="15" customHeight="1" s="36">
      <c r="A15" s="44" t="inlineStr">
        <is>
          <t>Thermal (steam) energy cost</t>
        </is>
      </c>
      <c r="B15" s="49" t="n">
        <v>35</v>
      </c>
      <c r="C15" s="44" t="inlineStr">
        <is>
          <t>£/MWh-th</t>
        </is>
      </c>
      <c r="D15" s="46" t="inlineStr">
        <is>
          <t>MEDIUM — placeholder gas-fired steam cost, cheaper than grid electricity</t>
        </is>
      </c>
    </row>
    <row r="16" ht="15" customHeight="1" s="36">
      <c r="A16" s="44" t="inlineStr">
        <is>
          <t>UK ETS price (2026 civil penalty rate)</t>
        </is>
      </c>
      <c r="B16" s="50" t="n">
        <v>49.41</v>
      </c>
      <c r="C16" s="44" t="inlineStr">
        <is>
          <t>£/t CO2</t>
        </is>
      </c>
      <c r="D16" s="46" t="inlineStr">
        <is>
          <t>HIGH — UK ETS Authority 2026 published rate; market range £30-60</t>
        </is>
      </c>
    </row>
    <row r="18" ht="15" customHeight="1" s="36">
      <c r="A18" s="42" t="inlineStr">
        <is>
          <t>FINANCE</t>
        </is>
      </c>
      <c r="B18" s="43" t="n"/>
      <c r="C18" s="43" t="n"/>
      <c r="D18" s="43" t="n"/>
    </row>
    <row r="19" ht="15" customHeight="1" s="36">
      <c r="A19" s="44" t="inlineStr">
        <is>
          <t>Discount rate</t>
        </is>
      </c>
      <c r="B19" s="48" t="n">
        <v>0.08</v>
      </c>
      <c r="C19" s="44" t="inlineStr">
        <is>
          <t>%</t>
        </is>
      </c>
      <c r="D19" s="46" t="inlineStr">
        <is>
          <t>Placeholder WACC — replace with site-specific hurdle rate</t>
        </is>
      </c>
    </row>
    <row r="20" ht="15" customHeight="1" s="36">
      <c r="A20" s="44" t="inlineStr">
        <is>
          <t>Plant/asset life</t>
        </is>
      </c>
      <c r="B20" s="51" t="n">
        <v>20</v>
      </c>
      <c r="C20" s="44" t="inlineStr">
        <is>
          <t>years</t>
        </is>
      </c>
      <c r="D20" s="46" t="inlineStr">
        <is>
          <t>Typical industrial capital asset life</t>
        </is>
      </c>
    </row>
    <row r="22" ht="15" customHeight="1" s="36">
      <c r="A22" s="42" t="inlineStr">
        <is>
          <t>SHARED — CO2 COMPRESSION (both pathways need this)</t>
        </is>
      </c>
      <c r="B22" s="43" t="n"/>
      <c r="C22" s="43" t="n"/>
      <c r="D22" s="43" t="n"/>
    </row>
    <row r="23" ht="15" customHeight="1" s="36">
      <c r="A23" s="44" t="inlineStr">
        <is>
          <t>Compression energy to pipeline spec (~90-110 bar)</t>
        </is>
      </c>
      <c r="B23" s="47" t="n">
        <v>105</v>
      </c>
      <c r="C23" s="44" t="inlineStr">
        <is>
          <t>kWh/t CO2</t>
        </is>
      </c>
      <c r="D23" s="46" t="inlineStr">
        <is>
          <t>HIGH — standard CCS benchmark range 90-120 kWh/t</t>
        </is>
      </c>
    </row>
    <row r="25" ht="15" customHeight="1" s="36">
      <c r="A25" s="42" t="inlineStr">
        <is>
          <t>BASELINE — AMINE CAPTURE</t>
        </is>
      </c>
      <c r="B25" s="43" t="n"/>
      <c r="C25" s="43" t="n"/>
      <c r="D25" s="43" t="n"/>
    </row>
    <row r="26" ht="15" customHeight="1" s="36">
      <c r="A26" s="44" t="inlineStr">
        <is>
          <t>Amine reboiler (thermal) duty, at reference CO2%</t>
        </is>
      </c>
      <c r="B26" s="47" t="n">
        <v>900</v>
      </c>
      <c r="C26" s="44" t="inlineStr">
        <is>
          <t>kWh-th/t CO2</t>
        </is>
      </c>
      <c r="D26" s="46" t="inlineStr">
        <is>
          <t>HIGH — typical MEA ~3.0-3.5 GJ/t CO2 (~830-970 kWh-th/t)</t>
        </is>
      </c>
    </row>
    <row r="27" ht="15" customHeight="1" s="36">
      <c r="A27" s="44" t="inlineStr">
        <is>
          <t>Amine electrical auxiliary load (pumps/fans)</t>
        </is>
      </c>
      <c r="B27" s="47" t="n">
        <v>40</v>
      </c>
      <c r="C27" s="44" t="inlineStr">
        <is>
          <t>kWh/t CO2</t>
        </is>
      </c>
      <c r="D27" s="46" t="inlineStr">
        <is>
          <t>HIGH — typical amine plant benchmark</t>
        </is>
      </c>
    </row>
    <row r="28" ht="15" customHeight="1" s="36">
      <c r="A28" s="44" t="inlineStr">
        <is>
          <t>Amine plant capex</t>
        </is>
      </c>
      <c r="B28" s="49" t="n">
        <v>320</v>
      </c>
      <c r="C28" s="44" t="inlineStr">
        <is>
          <t>£/tpa capacity</t>
        </is>
      </c>
      <c r="D28" s="46" t="inlineStr">
        <is>
          <t>MEDIUM — real-world benchmark ~$400/Tpa (Thunder Said Energy), converted @ ~£0.80/$</t>
        </is>
      </c>
    </row>
    <row r="29" ht="15" customHeight="1" s="36">
      <c r="A29" s="44" t="inlineStr">
        <is>
          <t>Amine non-energy opex (solvent, maintenance, labour)</t>
        </is>
      </c>
      <c r="B29" s="50" t="n">
        <v>8</v>
      </c>
      <c r="C29" s="44" t="inlineStr">
        <is>
          <t>£/t CO2</t>
        </is>
      </c>
      <c r="D29" s="46" t="inlineStr">
        <is>
          <t>LOW / placeholder — needs site-specific quote</t>
        </is>
      </c>
    </row>
    <row r="31" ht="15" customHeight="1" s="36">
      <c r="A31" s="42" t="inlineStr">
        <is>
          <t>OPTIMIZED — OXY-FUEL + AIR SEPARATION UNIT (ASU)</t>
        </is>
      </c>
      <c r="B31" s="43" t="n"/>
      <c r="C31" s="43" t="n"/>
      <c r="D31" s="43" t="n"/>
    </row>
    <row r="32" ht="15" customHeight="1" s="36">
      <c r="A32" s="44" t="inlineStr">
        <is>
          <t>O2 demand ratio</t>
        </is>
      </c>
      <c r="B32" s="45" t="n">
        <v>0.3</v>
      </c>
      <c r="C32" s="44" t="inlineStr">
        <is>
          <t>t O2 / t CO2 captured</t>
        </is>
      </c>
      <c r="D32" s="46" t="inlineStr">
        <is>
          <t>MEDIUM — simplified industry rule of thumb; needs mass-balance/engineering study</t>
        </is>
      </c>
    </row>
    <row r="33" ht="15" customHeight="1" s="36">
      <c r="A33" s="44" t="inlineStr">
        <is>
          <t>ASU specific energy</t>
        </is>
      </c>
      <c r="B33" s="47" t="n">
        <v>300</v>
      </c>
      <c r="C33" s="44" t="inlineStr">
        <is>
          <t>kWh/t O2</t>
        </is>
      </c>
      <c r="D33" s="46" t="inlineStr">
        <is>
          <t>HIGH — modern cryogenic ASU realistic range 250-500 kWh/t (theoretical min 51 kWh/t)</t>
        </is>
      </c>
    </row>
    <row r="34" ht="15" customHeight="1" s="36">
      <c r="A34" s="44" t="inlineStr">
        <is>
          <t>ASU capex</t>
        </is>
      </c>
      <c r="B34" s="49" t="n">
        <v>160</v>
      </c>
      <c r="C34" s="44" t="inlineStr">
        <is>
          <t>£/tpa O2 capacity</t>
        </is>
      </c>
      <c r="D34" s="46" t="inlineStr">
        <is>
          <t>MEDIUM — benchmark ~$200/Tpa O2 (Thunder Said Energy), converted @ ~£0.80/$</t>
        </is>
      </c>
    </row>
    <row r="35" ht="15" customHeight="1" s="36">
      <c r="A35" s="44" t="inlineStr">
        <is>
          <t>Pipeline-spec purification/drying energy</t>
        </is>
      </c>
      <c r="B35" s="47" t="n">
        <v>30</v>
      </c>
      <c r="C35" s="44" t="inlineStr">
        <is>
          <t>kWh/t CO2</t>
        </is>
      </c>
      <c r="D35" s="46" t="inlineStr">
        <is>
          <t>LOW / placeholder — removal of residual N2, moisture, SOx/NOx traces</t>
        </is>
      </c>
    </row>
    <row r="36" ht="22.35" customHeight="1" s="36">
      <c r="A36" s="44" t="inlineStr">
        <is>
          <t>Oxy-fuel kiln/burner retrofit capex</t>
        </is>
      </c>
      <c r="B36" s="49" t="n">
        <v>40</v>
      </c>
      <c r="C36" s="44" t="inlineStr">
        <is>
          <t>£/tpa CO2 capacity</t>
        </is>
      </c>
      <c r="D36" s="46" t="inlineStr">
        <is>
          <t>LOW / placeholder — CEMCAP tested components only at 30-500 kWth pilot scale; no commercial retrofit benchmark exists yet</t>
        </is>
      </c>
    </row>
    <row r="37" ht="15" customHeight="1" s="36">
      <c r="A37" s="44" t="inlineStr">
        <is>
          <t>Oxy-fuel non-energy opex</t>
        </is>
      </c>
      <c r="B37" s="50" t="n">
        <v>5</v>
      </c>
      <c r="C37" s="44" t="inlineStr">
        <is>
          <t>£/t CO2</t>
        </is>
      </c>
      <c r="D37" s="46" t="inlineStr">
        <is>
          <t>LOW / placeholder — needs site-specific quote</t>
        </is>
      </c>
    </row>
    <row r="39" ht="15" customHeight="1" s="36">
      <c r="A39" s="42" t="inlineStr">
        <is>
          <t>OPTIMIZED — WASTE HEAT RECOVERY (ORC)</t>
        </is>
      </c>
      <c r="B39" s="43" t="n"/>
      <c r="C39" s="43" t="n"/>
      <c r="D39" s="43" t="n"/>
    </row>
    <row r="40" ht="15" customHeight="1" s="36">
      <c r="A40" s="44" t="inlineStr">
        <is>
          <t>Recoverable waste heat</t>
        </is>
      </c>
      <c r="B40" s="48" t="n">
        <v>0.35</v>
      </c>
      <c r="C40" s="44" t="inlineStr">
        <is>
          <t>% of kiln thermal input</t>
        </is>
      </c>
      <c r="D40" s="46" t="inlineStr">
        <is>
          <t>HIGH — cement industry reports 30-40% of kiln/clinker-cooler heat wasted pre-WHR</t>
        </is>
      </c>
    </row>
    <row r="41" ht="15" customHeight="1" s="36">
      <c r="A41" s="44" t="inlineStr">
        <is>
          <t>ORC electrical conversion efficiency</t>
        </is>
      </c>
      <c r="B41" s="48" t="n">
        <v>0.18</v>
      </c>
      <c r="C41" s="44" t="inlineStr">
        <is>
          <t>%</t>
        </is>
      </c>
      <c r="D41" s="46" t="inlineStr">
        <is>
          <t>MEDIUM — typical ORC thermal-to-electric efficiency at cement exhaust temperatures</t>
        </is>
      </c>
    </row>
    <row r="42" ht="15" customHeight="1" s="36">
      <c r="A42" s="44" t="inlineStr">
        <is>
          <t>ORC capex</t>
        </is>
      </c>
      <c r="B42" s="49" t="n">
        <v>2000000</v>
      </c>
      <c r="C42" s="44" t="inlineStr">
        <is>
          <t>£/MWe installed</t>
        </is>
      </c>
      <c r="D42" s="46" t="inlineStr">
        <is>
          <t>HIGH — benchmark $1.8-3.2M/MWe (industry WHR cost surveys), converted @ ~£0.80/$</t>
        </is>
      </c>
    </row>
    <row r="43" ht="15" customHeight="1" s="36">
      <c r="A43" s="44" t="inlineStr">
        <is>
          <t>Kiln operating hours</t>
        </is>
      </c>
      <c r="B43" s="47" t="n">
        <v>8000</v>
      </c>
      <c r="C43" s="44" t="inlineStr">
        <is>
          <t>hrs/yr</t>
        </is>
      </c>
      <c r="D43" s="46" t="inlineStr">
        <is>
          <t>Typical continuous kiln operation (~91% capacity factor)</t>
        </is>
      </c>
    </row>
    <row r="45" ht="15" customHeight="1" s="36">
      <c r="A45" s="42" t="inlineStr">
        <is>
          <t>OPTIMIZED — BESS (GRID-QUEUE BYPASS)</t>
        </is>
      </c>
      <c r="B45" s="43" t="n"/>
      <c r="C45" s="43" t="n"/>
      <c r="D45" s="43" t="n"/>
    </row>
    <row r="46" ht="15" customHeight="1" s="36">
      <c r="A46" s="44" t="inlineStr">
        <is>
          <t>BESS capex</t>
        </is>
      </c>
      <c r="B46" s="49" t="n">
        <v>280</v>
      </c>
      <c r="C46" s="44" t="inlineStr">
        <is>
          <t>£/kWh installed</t>
        </is>
      </c>
      <c r="D46" s="46" t="inlineStr">
        <is>
          <t>MEDIUM — UK commercial/industrial BESS range £200-450/kWh (2025-26)</t>
        </is>
      </c>
    </row>
    <row r="47" ht="15" customHeight="1" s="36">
      <c r="A47" s="44" t="inlineStr">
        <is>
          <t>BESS power rating</t>
        </is>
      </c>
      <c r="B47" s="45" t="n">
        <v>10</v>
      </c>
      <c r="C47" s="44" t="inlineStr">
        <is>
          <t>MW</t>
        </is>
      </c>
      <c r="D47" s="46" t="inlineStr">
        <is>
          <t>User input — sized to shift ASU/compression peak load off the DNO connection</t>
        </is>
      </c>
    </row>
    <row r="48" ht="15" customHeight="1" s="36">
      <c r="A48" s="44" t="inlineStr">
        <is>
          <t>BESS duration</t>
        </is>
      </c>
      <c r="B48" s="45" t="n">
        <v>4</v>
      </c>
      <c r="C48" s="44" t="inlineStr">
        <is>
          <t>hours</t>
        </is>
      </c>
      <c r="D48" s="46" t="inlineStr">
        <is>
          <t>User input</t>
        </is>
      </c>
    </row>
    <row r="49" ht="22.35" customHeight="1" s="36">
      <c r="A49" s="44" t="inlineStr">
        <is>
          <t>Avoided/delayed grid reinforcement value</t>
        </is>
      </c>
      <c r="B49" s="49" t="n">
        <v>3000000</v>
      </c>
      <c r="C49" s="44" t="inlineStr">
        <is>
          <t>£</t>
        </is>
      </c>
      <c r="D49" s="46" t="inlineStr">
        <is>
          <t>LOW / placeholder — needs DNO quote; values the multi-year queue risk avoided (see prior red-team review)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35" min="1" max="1"/>
    <col width="18" customWidth="1" style="35" min="2" max="2"/>
    <col width="14" customWidth="1" style="35" min="3" max="3"/>
    <col width="55" customWidth="1" style="35" min="4" max="4"/>
  </cols>
  <sheetData>
    <row r="1" ht="17.35" customHeight="1" s="36">
      <c r="A1" s="37" t="inlineStr">
        <is>
          <t>Baseline — Amine Capture</t>
        </is>
      </c>
    </row>
    <row r="2" ht="15" customHeight="1" s="36">
      <c r="A2" s="38" t="inlineStr">
        <is>
          <t>Conventional amine scrubbing of as-is (dilute) flue gas, then compression to pipeline spec.</t>
        </is>
      </c>
    </row>
    <row r="4" ht="15" customHeight="1" s="36">
      <c r="A4" s="41" t="inlineStr">
        <is>
          <t>Metric</t>
        </is>
      </c>
      <c r="B4" s="41" t="inlineStr">
        <is>
          <t>Value</t>
        </is>
      </c>
      <c r="C4" s="41" t="inlineStr">
        <is>
          <t>Unit</t>
        </is>
      </c>
      <c r="D4" s="41" t="inlineStr">
        <is>
          <t>Note</t>
        </is>
      </c>
    </row>
    <row r="6" ht="15" customHeight="1" s="36">
      <c r="A6" s="44" t="inlineStr">
        <is>
          <t>Annual CO2 volume</t>
        </is>
      </c>
      <c r="B6" s="52">
        <f>Assumptions!$B$8</f>
        <v/>
      </c>
      <c r="C6" s="44" t="inlineStr">
        <is>
          <t>t/yr</t>
        </is>
      </c>
      <c r="D6" s="53" t="n"/>
    </row>
    <row r="7" ht="15" customHeight="1" s="36">
      <c r="A7" s="44" t="inlineStr">
        <is>
          <t>Amine reboiler duty, adjusted for actual flue gas CO2%</t>
        </is>
      </c>
      <c r="B7" s="52">
        <f>Assumptions!$B$26*(Assumptions!$B$11/Assumptions!$B$9)</f>
        <v/>
      </c>
      <c r="C7" s="44" t="inlineStr">
        <is>
          <t>kWh-th/t CO2</t>
        </is>
      </c>
      <c r="D7" s="54" t="inlineStr">
        <is>
          <t>Scaled vs 20% reference — more dilute gas needs more solvent circulation per t CO2</t>
        </is>
      </c>
    </row>
    <row r="8" ht="15" customHeight="1" s="36">
      <c r="A8" s="44" t="inlineStr">
        <is>
          <t>Thermal energy cost</t>
        </is>
      </c>
      <c r="B8" s="55">
        <f>B7*Assumptions!$B$15/1000</f>
        <v/>
      </c>
      <c r="C8" s="44" t="inlineStr">
        <is>
          <t>£/t CO2</t>
        </is>
      </c>
      <c r="D8" s="53" t="n"/>
    </row>
    <row r="9" ht="15" customHeight="1" s="36">
      <c r="A9" s="44" t="inlineStr">
        <is>
          <t>Electrical load (amine aux + compression)</t>
        </is>
      </c>
      <c r="B9" s="52">
        <f>Assumptions!$B$27+Assumptions!$B$23</f>
        <v/>
      </c>
      <c r="C9" s="44" t="inlineStr">
        <is>
          <t>kWh/t CO2</t>
        </is>
      </c>
      <c r="D9" s="53" t="n"/>
    </row>
    <row r="10" ht="15" customHeight="1" s="36">
      <c r="A10" s="44" t="inlineStr">
        <is>
          <t>Electrical cost</t>
        </is>
      </c>
      <c r="B10" s="55">
        <f>B9*Assumptions!$B$14/1000</f>
        <v/>
      </c>
      <c r="C10" s="44" t="inlineStr">
        <is>
          <t>£/t CO2</t>
        </is>
      </c>
      <c r="D10" s="53" t="n"/>
    </row>
    <row r="11" ht="15" customHeight="1" s="36">
      <c r="A11" s="44" t="inlineStr">
        <is>
          <t>Non-energy opex (solvent, maintenance, labour)</t>
        </is>
      </c>
      <c r="B11" s="55">
        <f>Assumptions!$B$29</f>
        <v/>
      </c>
      <c r="C11" s="44" t="inlineStr">
        <is>
          <t>£/t CO2</t>
        </is>
      </c>
      <c r="D11" s="53" t="n"/>
    </row>
    <row r="12" ht="15" customHeight="1" s="36">
      <c r="A12" s="44" t="inlineStr">
        <is>
          <t>Total opex</t>
        </is>
      </c>
      <c r="B12" s="56">
        <f>B8+B10+B11</f>
        <v/>
      </c>
      <c r="C12" s="44" t="inlineStr">
        <is>
          <t>£/t CO2</t>
        </is>
      </c>
      <c r="D12" s="53" t="n"/>
    </row>
    <row r="13" ht="15" customHeight="1" s="36">
      <c r="A13" s="44" t="inlineStr">
        <is>
          <t>Annual opex</t>
        </is>
      </c>
      <c r="B13" s="57">
        <f>B12*B6</f>
        <v/>
      </c>
      <c r="C13" s="44" t="inlineStr">
        <is>
          <t>£/yr</t>
        </is>
      </c>
      <c r="D13" s="53" t="n"/>
    </row>
    <row r="15" ht="15" customHeight="1" s="36">
      <c r="A15" s="42" t="inlineStr">
        <is>
          <t>CAPEX &amp; LEVELIZATION</t>
        </is>
      </c>
      <c r="B15" s="43" t="n"/>
      <c r="C15" s="43" t="n"/>
      <c r="D15" s="43" t="n"/>
    </row>
    <row r="16" ht="15" customHeight="1" s="36">
      <c r="A16" s="44" t="inlineStr">
        <is>
          <t>Capex</t>
        </is>
      </c>
      <c r="B16" s="57">
        <f>Assumptions!$B$28*B6</f>
        <v/>
      </c>
      <c r="C16" s="44" t="inlineStr">
        <is>
          <t>£</t>
        </is>
      </c>
      <c r="D16" s="53" t="n"/>
    </row>
    <row r="17" ht="15" customHeight="1" s="36">
      <c r="A17" s="44" t="inlineStr">
        <is>
          <t>Capital recovery factor (CRF)</t>
        </is>
      </c>
      <c r="B17" s="58">
        <f>(Assumptions!$B$19*(1+Assumptions!$B$19)^Assumptions!$B$20)/((1+Assumptions!$B$19)^Assumptions!$B$20-1)</f>
        <v/>
      </c>
      <c r="C17" s="53" t="n"/>
      <c r="D17" s="53" t="n"/>
    </row>
    <row r="18" ht="15" customHeight="1" s="36">
      <c r="A18" s="44" t="inlineStr">
        <is>
          <t>Annualized capex</t>
        </is>
      </c>
      <c r="B18" s="57">
        <f>B16*B17</f>
        <v/>
      </c>
      <c r="C18" s="44" t="inlineStr">
        <is>
          <t>£/yr</t>
        </is>
      </c>
      <c r="D18" s="53" t="n"/>
    </row>
    <row r="19" ht="15" customHeight="1" s="36">
      <c r="A19" s="44" t="inlineStr">
        <is>
          <t>Levelized capex</t>
        </is>
      </c>
      <c r="B19" s="55">
        <f>B18/B6</f>
        <v/>
      </c>
      <c r="C19" s="44" t="inlineStr">
        <is>
          <t>£/t CO2</t>
        </is>
      </c>
      <c r="D19" s="53" t="n"/>
    </row>
    <row r="20" ht="15" customHeight="1" s="36">
      <c r="A20" s="44" t="inlineStr">
        <is>
          <t>ALL-IN LEVELIZED COST</t>
        </is>
      </c>
      <c r="B20" s="56">
        <f>B12+B19</f>
        <v/>
      </c>
      <c r="C20" s="44" t="inlineStr">
        <is>
          <t>£/t CO2</t>
        </is>
      </c>
      <c r="D20" s="5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35" min="1" max="1"/>
    <col width="18" customWidth="1" style="35" min="2" max="2"/>
    <col width="14" customWidth="1" style="35" min="3" max="3"/>
    <col width="55" customWidth="1" style="35" min="4" max="4"/>
  </cols>
  <sheetData>
    <row r="1" ht="17.35" customHeight="1" s="36">
      <c r="A1" s="37" t="inlineStr">
        <is>
          <t>Optimized — Oxy-Fuel + ASU + Waste Heat Recovery + BESS</t>
        </is>
      </c>
    </row>
    <row r="2" ht="15" customHeight="1" s="36">
      <c r="A2" s="38" t="inlineStr">
        <is>
          <t>Oxy-fuel combustion concentrates the CO2 stream (&gt;80%); waste heat recovery self-generates power for the ASU/compression load; BESS shifts the residual load off the DNO connection.</t>
        </is>
      </c>
    </row>
    <row r="4" ht="15" customHeight="1" s="36">
      <c r="A4" s="41" t="inlineStr">
        <is>
          <t>Metric</t>
        </is>
      </c>
      <c r="B4" s="41" t="inlineStr">
        <is>
          <t>Value</t>
        </is>
      </c>
      <c r="C4" s="41" t="inlineStr">
        <is>
          <t>Unit</t>
        </is>
      </c>
      <c r="D4" s="41" t="inlineStr">
        <is>
          <t>Note</t>
        </is>
      </c>
    </row>
    <row r="6" ht="15" customHeight="1" s="36">
      <c r="A6" s="44" t="inlineStr">
        <is>
          <t>Annual CO2 volume</t>
        </is>
      </c>
      <c r="B6" s="52">
        <f>Assumptions!$B$8</f>
        <v/>
      </c>
      <c r="C6" s="44" t="inlineStr">
        <is>
          <t>t/yr</t>
        </is>
      </c>
      <c r="D6" s="53" t="n"/>
    </row>
    <row r="7" ht="15" customHeight="1" s="36">
      <c r="A7" s="42" t="inlineStr">
        <is>
          <t>ELECTRICAL LOAD</t>
        </is>
      </c>
      <c r="B7" s="43" t="n"/>
      <c r="C7" s="43" t="n"/>
      <c r="D7" s="43" t="n"/>
    </row>
    <row r="8" ht="15" customHeight="1" s="36">
      <c r="A8" s="44" t="inlineStr">
        <is>
          <t>O2 required</t>
        </is>
      </c>
      <c r="B8" s="52">
        <f>Assumptions!$B$32*B6</f>
        <v/>
      </c>
      <c r="C8" s="44" t="inlineStr">
        <is>
          <t>t/yr</t>
        </is>
      </c>
      <c r="D8" s="53" t="n"/>
    </row>
    <row r="9" ht="15" customHeight="1" s="36">
      <c r="A9" s="44" t="inlineStr">
        <is>
          <t>ASU electrical intensity</t>
        </is>
      </c>
      <c r="B9" s="52">
        <f>Assumptions!$B$32*Assumptions!$B$33</f>
        <v/>
      </c>
      <c r="C9" s="44" t="inlineStr">
        <is>
          <t>kWh/t CO2</t>
        </is>
      </c>
      <c r="D9" s="53" t="n"/>
    </row>
    <row r="10" ht="15" customHeight="1" s="36">
      <c r="A10" s="44" t="inlineStr">
        <is>
          <t>Pipeline-spec purification/drying</t>
        </is>
      </c>
      <c r="B10" s="52">
        <f>Assumptions!$B$35</f>
        <v/>
      </c>
      <c r="C10" s="44" t="inlineStr">
        <is>
          <t>kWh/t CO2</t>
        </is>
      </c>
      <c r="D10" s="53" t="n"/>
    </row>
    <row r="11" ht="15" customHeight="1" s="36">
      <c r="A11" s="44" t="inlineStr">
        <is>
          <t>Compression to pipeline spec</t>
        </is>
      </c>
      <c r="B11" s="52">
        <f>Assumptions!$B$23</f>
        <v/>
      </c>
      <c r="C11" s="44" t="inlineStr">
        <is>
          <t>kWh/t CO2</t>
        </is>
      </c>
      <c r="D11" s="53" t="n"/>
    </row>
    <row r="12" ht="15" customHeight="1" s="36">
      <c r="A12" s="44" t="inlineStr">
        <is>
          <t>Total electrical demand</t>
        </is>
      </c>
      <c r="B12" s="52">
        <f>B9+B10+B11</f>
        <v/>
      </c>
      <c r="C12" s="44" t="inlineStr">
        <is>
          <t>kWh/t CO2</t>
        </is>
      </c>
      <c r="D12" s="53" t="n"/>
    </row>
    <row r="13" ht="15" customHeight="1" s="36">
      <c r="A13" s="44" t="inlineStr">
        <is>
          <t>Total electrical demand</t>
        </is>
      </c>
      <c r="B13" s="52">
        <f>B12*B6/1000</f>
        <v/>
      </c>
      <c r="C13" s="44" t="inlineStr">
        <is>
          <t>MWh/yr</t>
        </is>
      </c>
      <c r="D13" s="53" t="n"/>
    </row>
    <row r="15" ht="15" customHeight="1" s="36">
      <c r="A15" s="42" t="inlineStr">
        <is>
          <t>WASTE HEAT RECOVERY (SELF-GENERATION)</t>
        </is>
      </c>
      <c r="B15" s="43" t="n"/>
      <c r="C15" s="43" t="n"/>
      <c r="D15" s="43" t="n"/>
    </row>
    <row r="16" ht="15" customHeight="1" s="36">
      <c r="A16" s="44" t="inlineStr">
        <is>
          <t>Recoverable waste heat</t>
        </is>
      </c>
      <c r="B16" s="59">
        <f>Assumptions!$B$7*Assumptions!$B$40</f>
        <v/>
      </c>
      <c r="C16" s="44" t="inlineStr">
        <is>
          <t>MWth</t>
        </is>
      </c>
      <c r="D16" s="53" t="n"/>
    </row>
    <row r="17" ht="15" customHeight="1" s="36">
      <c r="A17" s="44" t="inlineStr">
        <is>
          <t>WHR electrical output (ORC)</t>
        </is>
      </c>
      <c r="B17" s="59">
        <f>B16*Assumptions!$B$41</f>
        <v/>
      </c>
      <c r="C17" s="44" t="inlineStr">
        <is>
          <t>MWe</t>
        </is>
      </c>
      <c r="D17" s="53" t="n"/>
    </row>
    <row r="18" ht="15" customHeight="1" s="36">
      <c r="A18" s="44" t="inlineStr">
        <is>
          <t>Annual WHR generation</t>
        </is>
      </c>
      <c r="B18" s="52">
        <f>B17*Assumptions!$B$43</f>
        <v/>
      </c>
      <c r="C18" s="44" t="inlineStr">
        <is>
          <t>MWh/yr</t>
        </is>
      </c>
      <c r="D18" s="53" t="n"/>
    </row>
    <row r="19" ht="15" customHeight="1" s="36">
      <c r="A19" s="44" t="inlineStr">
        <is>
          <t>Net grid electricity required</t>
        </is>
      </c>
      <c r="B19" s="52">
        <f>MAX(0,B13-B18)</f>
        <v/>
      </c>
      <c r="C19" s="44" t="inlineStr">
        <is>
          <t>MWh/yr</t>
        </is>
      </c>
      <c r="D19" s="53" t="n"/>
    </row>
    <row r="20" ht="15" customHeight="1" s="36">
      <c r="A20" s="44" t="inlineStr">
        <is>
          <t>Share of load covered by self-generated WHR power</t>
        </is>
      </c>
      <c r="B20" s="60">
        <f>MIN(1,B18/B13)</f>
        <v/>
      </c>
      <c r="C20" s="44" t="inlineStr">
        <is>
          <t>%</t>
        </is>
      </c>
      <c r="D20" s="53" t="n"/>
    </row>
    <row r="22" ht="15" customHeight="1" s="36">
      <c r="A22" s="42" t="inlineStr">
        <is>
          <t>OPEX</t>
        </is>
      </c>
      <c r="B22" s="43" t="n"/>
      <c r="C22" s="43" t="n"/>
      <c r="D22" s="43" t="n"/>
    </row>
    <row r="23" ht="15" customHeight="1" s="36">
      <c r="A23" s="44" t="inlineStr">
        <is>
          <t>Grid electricity cost</t>
        </is>
      </c>
      <c r="B23" s="57">
        <f>B19*Assumptions!$B$14</f>
        <v/>
      </c>
      <c r="C23" s="44" t="inlineStr">
        <is>
          <t>£/yr</t>
        </is>
      </c>
      <c r="D23" s="53" t="n"/>
    </row>
    <row r="24" ht="15" customHeight="1" s="36">
      <c r="A24" s="44" t="inlineStr">
        <is>
          <t>Non-energy opex (oxy-fuel line)</t>
        </is>
      </c>
      <c r="B24" s="57">
        <f>Assumptions!$B$37*B6</f>
        <v/>
      </c>
      <c r="C24" s="44" t="inlineStr">
        <is>
          <t>£/yr</t>
        </is>
      </c>
      <c r="D24" s="53" t="n"/>
    </row>
    <row r="25" ht="15" customHeight="1" s="36">
      <c r="A25" s="44" t="inlineStr">
        <is>
          <t>Total opex</t>
        </is>
      </c>
      <c r="B25" s="57">
        <f>B23+B24</f>
        <v/>
      </c>
      <c r="C25" s="44" t="inlineStr">
        <is>
          <t>£/yr</t>
        </is>
      </c>
      <c r="D25" s="53" t="n"/>
    </row>
    <row r="26" ht="15" customHeight="1" s="36">
      <c r="A26" s="44" t="inlineStr">
        <is>
          <t>Total opex</t>
        </is>
      </c>
      <c r="B26" s="56">
        <f>B25/B6</f>
        <v/>
      </c>
      <c r="C26" s="44" t="inlineStr">
        <is>
          <t>£/t CO2</t>
        </is>
      </c>
      <c r="D26" s="53" t="n"/>
    </row>
    <row r="28" ht="15" customHeight="1" s="36">
      <c r="A28" s="42" t="inlineStr">
        <is>
          <t>CAPEX &amp; LEVELIZATION</t>
        </is>
      </c>
      <c r="B28" s="43" t="n"/>
      <c r="C28" s="43" t="n"/>
      <c r="D28" s="43" t="n"/>
    </row>
    <row r="29" ht="15" customHeight="1" s="36">
      <c r="A29" s="44" t="inlineStr">
        <is>
          <t>ASU capex</t>
        </is>
      </c>
      <c r="B29" s="57">
        <f>Assumptions!$B$34*B8</f>
        <v/>
      </c>
      <c r="C29" s="44" t="inlineStr">
        <is>
          <t>£</t>
        </is>
      </c>
      <c r="D29" s="53" t="n"/>
    </row>
    <row r="30" ht="15" customHeight="1" s="36">
      <c r="A30" s="44" t="inlineStr">
        <is>
          <t>Oxy-fuel kiln/burner retrofit capex</t>
        </is>
      </c>
      <c r="B30" s="57">
        <f>Assumptions!$B$36*B6</f>
        <v/>
      </c>
      <c r="C30" s="44" t="inlineStr">
        <is>
          <t>£</t>
        </is>
      </c>
      <c r="D30" s="53" t="n"/>
    </row>
    <row r="31" ht="15" customHeight="1" s="36">
      <c r="A31" s="44" t="inlineStr">
        <is>
          <t>ORC capex</t>
        </is>
      </c>
      <c r="B31" s="57">
        <f>B17*Assumptions!$B$42</f>
        <v/>
      </c>
      <c r="C31" s="44" t="inlineStr">
        <is>
          <t>£</t>
        </is>
      </c>
      <c r="D31" s="53" t="n"/>
    </row>
    <row r="32" ht="15" customHeight="1" s="36">
      <c r="A32" s="44" t="inlineStr">
        <is>
          <t>BESS capex</t>
        </is>
      </c>
      <c r="B32" s="57">
        <f>Assumptions!$B$47*Assumptions!$B$48*1000*Assumptions!$B$46</f>
        <v/>
      </c>
      <c r="C32" s="44" t="inlineStr">
        <is>
          <t>£</t>
        </is>
      </c>
      <c r="D32" s="53" t="n"/>
    </row>
    <row r="33" ht="15" customHeight="1" s="36">
      <c r="A33" s="44" t="inlineStr">
        <is>
          <t>Total capex before grid-reinforcement offset</t>
        </is>
      </c>
      <c r="B33" s="57">
        <f>B29+B30+B31+B32</f>
        <v/>
      </c>
      <c r="C33" s="44" t="inlineStr">
        <is>
          <t>£</t>
        </is>
      </c>
      <c r="D33" s="53" t="n"/>
    </row>
    <row r="34" ht="15" customHeight="1" s="36">
      <c r="A34" s="44" t="inlineStr">
        <is>
          <t>Avoided/delayed grid-reinforcement value</t>
        </is>
      </c>
      <c r="B34" s="57">
        <f>Assumptions!$B$49</f>
        <v/>
      </c>
      <c r="C34" s="44" t="inlineStr">
        <is>
          <t>£</t>
        </is>
      </c>
      <c r="D34" s="53" t="n"/>
    </row>
    <row r="35" ht="15" customHeight="1" s="36">
      <c r="A35" s="44" t="inlineStr">
        <is>
          <t>Net capex</t>
        </is>
      </c>
      <c r="B35" s="57">
        <f>B33-B34</f>
        <v/>
      </c>
      <c r="C35" s="44" t="inlineStr">
        <is>
          <t>£</t>
        </is>
      </c>
      <c r="D35" s="53" t="n"/>
    </row>
    <row r="36" ht="15" customHeight="1" s="36">
      <c r="A36" s="44" t="inlineStr">
        <is>
          <t>Capital recovery factor (CRF)</t>
        </is>
      </c>
      <c r="B36" s="58">
        <f>Baseline!B17</f>
        <v/>
      </c>
      <c r="C36" s="53" t="n"/>
      <c r="D36" s="53" t="n"/>
    </row>
    <row r="37" ht="15" customHeight="1" s="36">
      <c r="A37" s="44" t="inlineStr">
        <is>
          <t>Annualized capex</t>
        </is>
      </c>
      <c r="B37" s="57">
        <f>B35*B36</f>
        <v/>
      </c>
      <c r="C37" s="44" t="inlineStr">
        <is>
          <t>£/yr</t>
        </is>
      </c>
      <c r="D37" s="53" t="n"/>
    </row>
    <row r="38" ht="15" customHeight="1" s="36">
      <c r="A38" s="44" t="inlineStr">
        <is>
          <t>Levelized capex</t>
        </is>
      </c>
      <c r="B38" s="55">
        <f>B37/B6</f>
        <v/>
      </c>
      <c r="C38" s="44" t="inlineStr">
        <is>
          <t>£/t CO2</t>
        </is>
      </c>
      <c r="D38" s="53" t="n"/>
    </row>
    <row r="39" ht="15" customHeight="1" s="36">
      <c r="A39" s="44" t="inlineStr">
        <is>
          <t>ALL-IN LEVELIZED COST</t>
        </is>
      </c>
      <c r="B39" s="56">
        <f>B26+B38</f>
        <v/>
      </c>
      <c r="C39" s="44" t="inlineStr">
        <is>
          <t>£/t CO2</t>
        </is>
      </c>
      <c r="D39" s="5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35" min="1" max="1"/>
    <col width="18" customWidth="1" style="35" min="2" max="2"/>
    <col width="14" customWidth="1" style="35" min="3" max="3"/>
    <col width="60" customWidth="1" style="35" min="4" max="4"/>
  </cols>
  <sheetData>
    <row r="1" ht="17.35" customHeight="1" s="36">
      <c r="A1" s="37" t="inlineStr">
        <is>
          <t>Comparison — Baseline (Amine) vs Optimized (Oxy-Fuel + WHR + BESS)</t>
        </is>
      </c>
    </row>
    <row r="2" ht="15" customHeight="1" s="36">
      <c r="A2" s="38" t="inlineStr">
        <is>
          <t>Both pathways feed the same Peak Cluster pipeline. This asks which is cheaper to build and run, not whether to build the pipeline.</t>
        </is>
      </c>
    </row>
    <row r="4" ht="15" customHeight="1" s="36">
      <c r="A4" s="41" t="inlineStr">
        <is>
          <t>Metric</t>
        </is>
      </c>
      <c r="B4" s="41" t="inlineStr">
        <is>
          <t>Value</t>
        </is>
      </c>
      <c r="C4" s="41" t="inlineStr">
        <is>
          <t>Unit</t>
        </is>
      </c>
      <c r="D4" s="41" t="inlineStr">
        <is>
          <t>Note</t>
        </is>
      </c>
    </row>
    <row r="6" ht="15" customHeight="1" s="36">
      <c r="A6" s="42" t="inlineStr">
        <is>
          <t>ALL-IN LEVELIZED COST</t>
        </is>
      </c>
      <c r="B6" s="43" t="n"/>
      <c r="C6" s="43" t="n"/>
      <c r="D6" s="43" t="n"/>
    </row>
    <row r="7" ht="15" customHeight="1" s="36">
      <c r="A7" s="44" t="inlineStr">
        <is>
          <t>Baseline (amine) — all-in £/t</t>
        </is>
      </c>
      <c r="B7" s="55">
        <f>Baseline!$B$20</f>
        <v/>
      </c>
      <c r="C7" s="44" t="inlineStr">
        <is>
          <t>£/t CO2</t>
        </is>
      </c>
      <c r="D7" s="53" t="n"/>
    </row>
    <row r="8" ht="15" customHeight="1" s="36">
      <c r="A8" s="44" t="inlineStr">
        <is>
          <t>Optimized (oxy-fuel+WHR+BESS) — all-in £/t</t>
        </is>
      </c>
      <c r="B8" s="55">
        <f>Optimized!$B$39</f>
        <v/>
      </c>
      <c r="C8" s="44" t="inlineStr">
        <is>
          <t>£/t CO2</t>
        </is>
      </c>
      <c r="D8" s="53" t="n"/>
    </row>
    <row r="9" ht="15" customHeight="1" s="36">
      <c r="A9" s="44" t="inlineStr">
        <is>
          <t>Savings per tonne</t>
        </is>
      </c>
      <c r="B9" s="56">
        <f>B7-B8</f>
        <v/>
      </c>
      <c r="C9" s="44" t="inlineStr">
        <is>
          <t>£/t CO2</t>
        </is>
      </c>
      <c r="D9" s="53" t="n"/>
    </row>
    <row r="10" ht="15" customHeight="1" s="36">
      <c r="A10" s="44" t="inlineStr">
        <is>
          <t>Savings, %</t>
        </is>
      </c>
      <c r="B10" s="60">
        <f>B9/B7</f>
        <v/>
      </c>
      <c r="C10" s="44" t="inlineStr">
        <is>
          <t>%</t>
        </is>
      </c>
      <c r="D10" s="53" t="n"/>
    </row>
    <row r="11" ht="15" customHeight="1" s="36">
      <c r="A11" s="44" t="inlineStr">
        <is>
          <t>UK ETS price (reference only)</t>
        </is>
      </c>
      <c r="B11" s="55">
        <f>Assumptions!$B$16</f>
        <v/>
      </c>
      <c r="C11" s="44" t="inlineStr">
        <is>
          <t>£/t CO2</t>
        </is>
      </c>
      <c r="D11" s="54" t="inlineStr">
        <is>
          <t>Both pathways still need to run — ETS is the cost of NOT capturing, not an alternative to either pathway</t>
        </is>
      </c>
    </row>
    <row r="13" ht="15" customHeight="1" s="36">
      <c r="A13" s="42" t="inlineStr">
        <is>
          <t>CAPEX</t>
        </is>
      </c>
      <c r="B13" s="43" t="n"/>
      <c r="C13" s="43" t="n"/>
      <c r="D13" s="43" t="n"/>
    </row>
    <row r="14" ht="15" customHeight="1" s="36">
      <c r="A14" s="44" t="inlineStr">
        <is>
          <t>Baseline (amine) capex</t>
        </is>
      </c>
      <c r="B14" s="57">
        <f>Baseline!$B$16</f>
        <v/>
      </c>
      <c r="C14" s="44" t="inlineStr">
        <is>
          <t>£</t>
        </is>
      </c>
      <c r="D14" s="53" t="n"/>
    </row>
    <row r="15" ht="15" customHeight="1" s="36">
      <c r="A15" s="44" t="inlineStr">
        <is>
          <t>Optimized net capex (after grid-reinforcement offset)</t>
        </is>
      </c>
      <c r="B15" s="57">
        <f>Optimized!$B$35</f>
        <v/>
      </c>
      <c r="C15" s="44" t="inlineStr">
        <is>
          <t>£</t>
        </is>
      </c>
      <c r="D15" s="53" t="n"/>
    </row>
    <row r="16" ht="15" customHeight="1" s="36">
      <c r="A16" s="44" t="inlineStr">
        <is>
          <t>Capex delta (Optimized − Baseline)</t>
        </is>
      </c>
      <c r="B16" s="61">
        <f>B15-B14</f>
        <v/>
      </c>
      <c r="C16" s="44" t="inlineStr">
        <is>
          <t>£</t>
        </is>
      </c>
      <c r="D16" s="53" t="n"/>
    </row>
    <row r="18" ht="15" customHeight="1" s="36">
      <c r="A18" s="42" t="inlineStr">
        <is>
          <t>ANNUAL OPEX</t>
        </is>
      </c>
      <c r="B18" s="43" t="n"/>
      <c r="C18" s="43" t="n"/>
      <c r="D18" s="43" t="n"/>
    </row>
    <row r="19" ht="15" customHeight="1" s="36">
      <c r="A19" s="44" t="inlineStr">
        <is>
          <t>Baseline (amine) annual opex</t>
        </is>
      </c>
      <c r="B19" s="57">
        <f>Baseline!$B$13</f>
        <v/>
      </c>
      <c r="C19" s="44" t="inlineStr">
        <is>
          <t>£/yr</t>
        </is>
      </c>
      <c r="D19" s="53" t="n"/>
    </row>
    <row r="20" ht="15" customHeight="1" s="36">
      <c r="A20" s="44" t="inlineStr">
        <is>
          <t>Optimized annual opex</t>
        </is>
      </c>
      <c r="B20" s="57">
        <f>Optimized!$B$25</f>
        <v/>
      </c>
      <c r="C20" s="44" t="inlineStr">
        <is>
          <t>£/yr</t>
        </is>
      </c>
      <c r="D20" s="53" t="n"/>
    </row>
    <row r="21" ht="15" customHeight="1" s="36">
      <c r="A21" s="44" t="inlineStr">
        <is>
          <t>Annual opex savings</t>
        </is>
      </c>
      <c r="B21" s="61">
        <f>B19-B20</f>
        <v/>
      </c>
      <c r="C21" s="44" t="inlineStr">
        <is>
          <t>£/yr</t>
        </is>
      </c>
      <c r="D21" s="53" t="n"/>
    </row>
    <row r="23" ht="15" customHeight="1" s="36">
      <c r="A23" s="42" t="inlineStr">
        <is>
          <t>PAYBACK</t>
        </is>
      </c>
      <c r="B23" s="43" t="n"/>
      <c r="C23" s="43" t="n"/>
      <c r="D23" s="43" t="n"/>
    </row>
    <row r="24" ht="15" customHeight="1" s="36">
      <c r="A24" s="44" t="inlineStr">
        <is>
          <t>Simple payback</t>
        </is>
      </c>
      <c r="B24" s="62">
        <f>IF(B16&lt;=0,0,B16/B21)</f>
        <v/>
      </c>
      <c r="C24" s="44" t="inlineStr">
        <is>
          <t>years</t>
        </is>
      </c>
      <c r="D24" s="53" t="n"/>
    </row>
    <row r="25" ht="27.75" customHeight="1" s="36">
      <c r="A25" s="44" t="inlineStr">
        <is>
          <t>Verdict</t>
        </is>
      </c>
      <c r="B25" s="63">
        <f>IF(B16&lt;=0,"Optimized package has LOWER capex AND lower opex — dominant, no payback needed","Positive incremental capex — see payback years above")</f>
        <v/>
      </c>
      <c r="C25" s="53" t="n"/>
      <c r="D25" s="53" t="n"/>
    </row>
    <row r="27" ht="15" customHeight="1" s="36">
      <c r="A27" s="42" t="inlineStr">
        <is>
          <t>WHAT THE OXY-FUEL PACKAGE IS INSULATING YOU FROM</t>
        </is>
      </c>
      <c r="B27" s="43" t="n"/>
      <c r="C27" s="43" t="n"/>
      <c r="D27" s="43" t="n"/>
    </row>
    <row r="28" ht="15" customHeight="1" s="36">
      <c r="A28" s="44" t="inlineStr">
        <is>
          <t>Share of optimized-case electrical load covered by self-generated WHR power</t>
        </is>
      </c>
      <c r="B28" s="64">
        <f>Optimized!$B$20</f>
        <v/>
      </c>
      <c r="C28" s="44" t="inlineStr">
        <is>
          <t>%</t>
        </is>
      </c>
      <c r="D28" s="54" t="inlineStr">
        <is>
          <t>Higher = less exposure to wholesale tariff volatility and DNO grid-queue risk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35" min="1" max="1"/>
    <col width="12" customWidth="1" style="35" min="2" max="8"/>
  </cols>
  <sheetData>
    <row r="1" ht="17.35" customHeight="1" s="36">
      <c r="A1" s="37" t="inlineStr">
        <is>
          <t>Sensitivity</t>
        </is>
      </c>
    </row>
    <row r="2" ht="15" customHeight="1" s="36">
      <c r="A2" s="38" t="inlineStr">
        <is>
          <t>Stress-tests the two least certain assumption groups against the headline savings/cost figures.</t>
        </is>
      </c>
    </row>
    <row r="4" ht="15" customHeight="1" s="36">
      <c r="A4" s="42" t="inlineStr">
        <is>
          <t>TABLE 1 — Savings £/t (Baseline − Optimized) vs electricity tariff and baseline flue gas CO2%</t>
        </is>
      </c>
      <c r="B4" s="43" t="n"/>
      <c r="C4" s="43" t="n"/>
      <c r="D4" s="43" t="n"/>
      <c r="E4" s="43" t="n"/>
      <c r="F4" s="43" t="n"/>
      <c r="G4" s="43" t="n"/>
      <c r="H4" s="43" t="n"/>
    </row>
    <row r="5" ht="15" customHeight="1" s="36">
      <c r="A5" s="41" t="inlineStr">
        <is>
          <t>Tariff \ CO2%</t>
        </is>
      </c>
      <c r="B5" s="65" t="n">
        <v>0.14</v>
      </c>
      <c r="C5" s="65" t="n">
        <v>0.16</v>
      </c>
      <c r="D5" s="65" t="n">
        <v>0.18</v>
      </c>
      <c r="E5" s="65" t="n">
        <v>0.2</v>
      </c>
      <c r="F5" s="65" t="n">
        <v>0.22</v>
      </c>
      <c r="G5" s="65" t="n">
        <v>0.25</v>
      </c>
    </row>
    <row r="6" ht="15" customHeight="1" s="36">
      <c r="A6" s="66" t="n">
        <v>60</v>
      </c>
      <c r="B6" s="67">
        <f>(((Assumptions!$B$26*(Assumptions!$B$11/B$5))*Assumptions!$B$15/1000+(Assumptions!$B$27+Assumptions!$B$23)*$A6/1000+Assumptions!$B$29)+Baseline!$B$19)-((Optimized!$B$19*$A6)/Optimized!$B$6+Assumptions!$B$37+Optimized!$B$38)</f>
        <v/>
      </c>
      <c r="C6" s="67">
        <f>(((Assumptions!$B$26*(Assumptions!$B$11/C$5))*Assumptions!$B$15/1000+(Assumptions!$B$27+Assumptions!$B$23)*$A6/1000+Assumptions!$B$29)+Baseline!$B$19)-((Optimized!$B$19*$A6)/Optimized!$B$6+Assumptions!$B$37+Optimized!$B$38)</f>
        <v/>
      </c>
      <c r="D6" s="67">
        <f>(((Assumptions!$B$26*(Assumptions!$B$11/D$5))*Assumptions!$B$15/1000+(Assumptions!$B$27+Assumptions!$B$23)*$A6/1000+Assumptions!$B$29)+Baseline!$B$19)-((Optimized!$B$19*$A6)/Optimized!$B$6+Assumptions!$B$37+Optimized!$B$38)</f>
        <v/>
      </c>
      <c r="E6" s="67">
        <f>(((Assumptions!$B$26*(Assumptions!$B$11/E$5))*Assumptions!$B$15/1000+(Assumptions!$B$27+Assumptions!$B$23)*$A6/1000+Assumptions!$B$29)+Baseline!$B$19)-((Optimized!$B$19*$A6)/Optimized!$B$6+Assumptions!$B$37+Optimized!$B$38)</f>
        <v/>
      </c>
      <c r="F6" s="67">
        <f>(((Assumptions!$B$26*(Assumptions!$B$11/F$5))*Assumptions!$B$15/1000+(Assumptions!$B$27+Assumptions!$B$23)*$A6/1000+Assumptions!$B$29)+Baseline!$B$19)-((Optimized!$B$19*$A6)/Optimized!$B$6+Assumptions!$B$37+Optimized!$B$38)</f>
        <v/>
      </c>
      <c r="G6" s="67">
        <f>(((Assumptions!$B$26*(Assumptions!$B$11/G$5))*Assumptions!$B$15/1000+(Assumptions!$B$27+Assumptions!$B$23)*$A6/1000+Assumptions!$B$29)+Baseline!$B$19)-((Optimized!$B$19*$A6)/Optimized!$B$6+Assumptions!$B$37+Optimized!$B$38)</f>
        <v/>
      </c>
    </row>
    <row r="7" ht="15" customHeight="1" s="36">
      <c r="A7" s="66" t="n">
        <v>80</v>
      </c>
      <c r="B7" s="67">
        <f>(((Assumptions!$B$26*(Assumptions!$B$11/B$5))*Assumptions!$B$15/1000+(Assumptions!$B$27+Assumptions!$B$23)*$A7/1000+Assumptions!$B$29)+Baseline!$B$19)-((Optimized!$B$19*$A7)/Optimized!$B$6+Assumptions!$B$37+Optimized!$B$38)</f>
        <v/>
      </c>
      <c r="C7" s="67">
        <f>(((Assumptions!$B$26*(Assumptions!$B$11/C$5))*Assumptions!$B$15/1000+(Assumptions!$B$27+Assumptions!$B$23)*$A7/1000+Assumptions!$B$29)+Baseline!$B$19)-((Optimized!$B$19*$A7)/Optimized!$B$6+Assumptions!$B$37+Optimized!$B$38)</f>
        <v/>
      </c>
      <c r="D7" s="67">
        <f>(((Assumptions!$B$26*(Assumptions!$B$11/D$5))*Assumptions!$B$15/1000+(Assumptions!$B$27+Assumptions!$B$23)*$A7/1000+Assumptions!$B$29)+Baseline!$B$19)-((Optimized!$B$19*$A7)/Optimized!$B$6+Assumptions!$B$37+Optimized!$B$38)</f>
        <v/>
      </c>
      <c r="E7" s="67">
        <f>(((Assumptions!$B$26*(Assumptions!$B$11/E$5))*Assumptions!$B$15/1000+(Assumptions!$B$27+Assumptions!$B$23)*$A7/1000+Assumptions!$B$29)+Baseline!$B$19)-((Optimized!$B$19*$A7)/Optimized!$B$6+Assumptions!$B$37+Optimized!$B$38)</f>
        <v/>
      </c>
      <c r="F7" s="67">
        <f>(((Assumptions!$B$26*(Assumptions!$B$11/F$5))*Assumptions!$B$15/1000+(Assumptions!$B$27+Assumptions!$B$23)*$A7/1000+Assumptions!$B$29)+Baseline!$B$19)-((Optimized!$B$19*$A7)/Optimized!$B$6+Assumptions!$B$37+Optimized!$B$38)</f>
        <v/>
      </c>
      <c r="G7" s="67">
        <f>(((Assumptions!$B$26*(Assumptions!$B$11/G$5))*Assumptions!$B$15/1000+(Assumptions!$B$27+Assumptions!$B$23)*$A7/1000+Assumptions!$B$29)+Baseline!$B$19)-((Optimized!$B$19*$A7)/Optimized!$B$6+Assumptions!$B$37+Optimized!$B$38)</f>
        <v/>
      </c>
    </row>
    <row r="8" ht="15" customHeight="1" s="36">
      <c r="A8" s="66" t="n">
        <v>100</v>
      </c>
      <c r="B8" s="67">
        <f>(((Assumptions!$B$26*(Assumptions!$B$11/B$5))*Assumptions!$B$15/1000+(Assumptions!$B$27+Assumptions!$B$23)*$A8/1000+Assumptions!$B$29)+Baseline!$B$19)-((Optimized!$B$19*$A8)/Optimized!$B$6+Assumptions!$B$37+Optimized!$B$38)</f>
        <v/>
      </c>
      <c r="C8" s="67">
        <f>(((Assumptions!$B$26*(Assumptions!$B$11/C$5))*Assumptions!$B$15/1000+(Assumptions!$B$27+Assumptions!$B$23)*$A8/1000+Assumptions!$B$29)+Baseline!$B$19)-((Optimized!$B$19*$A8)/Optimized!$B$6+Assumptions!$B$37+Optimized!$B$38)</f>
        <v/>
      </c>
      <c r="D8" s="67">
        <f>(((Assumptions!$B$26*(Assumptions!$B$11/D$5))*Assumptions!$B$15/1000+(Assumptions!$B$27+Assumptions!$B$23)*$A8/1000+Assumptions!$B$29)+Baseline!$B$19)-((Optimized!$B$19*$A8)/Optimized!$B$6+Assumptions!$B$37+Optimized!$B$38)</f>
        <v/>
      </c>
      <c r="E8" s="67">
        <f>(((Assumptions!$B$26*(Assumptions!$B$11/E$5))*Assumptions!$B$15/1000+(Assumptions!$B$27+Assumptions!$B$23)*$A8/1000+Assumptions!$B$29)+Baseline!$B$19)-((Optimized!$B$19*$A8)/Optimized!$B$6+Assumptions!$B$37+Optimized!$B$38)</f>
        <v/>
      </c>
      <c r="F8" s="67">
        <f>(((Assumptions!$B$26*(Assumptions!$B$11/F$5))*Assumptions!$B$15/1000+(Assumptions!$B$27+Assumptions!$B$23)*$A8/1000+Assumptions!$B$29)+Baseline!$B$19)-((Optimized!$B$19*$A8)/Optimized!$B$6+Assumptions!$B$37+Optimized!$B$38)</f>
        <v/>
      </c>
      <c r="G8" s="67">
        <f>(((Assumptions!$B$26*(Assumptions!$B$11/G$5))*Assumptions!$B$15/1000+(Assumptions!$B$27+Assumptions!$B$23)*$A8/1000+Assumptions!$B$29)+Baseline!$B$19)-((Optimized!$B$19*$A8)/Optimized!$B$6+Assumptions!$B$37+Optimized!$B$38)</f>
        <v/>
      </c>
    </row>
    <row r="9" ht="15" customHeight="1" s="36">
      <c r="A9" s="66" t="n">
        <v>120</v>
      </c>
      <c r="B9" s="67">
        <f>(((Assumptions!$B$26*(Assumptions!$B$11/B$5))*Assumptions!$B$15/1000+(Assumptions!$B$27+Assumptions!$B$23)*$A9/1000+Assumptions!$B$29)+Baseline!$B$19)-((Optimized!$B$19*$A9)/Optimized!$B$6+Assumptions!$B$37+Optimized!$B$38)</f>
        <v/>
      </c>
      <c r="C9" s="67">
        <f>(((Assumptions!$B$26*(Assumptions!$B$11/C$5))*Assumptions!$B$15/1000+(Assumptions!$B$27+Assumptions!$B$23)*$A9/1000+Assumptions!$B$29)+Baseline!$B$19)-((Optimized!$B$19*$A9)/Optimized!$B$6+Assumptions!$B$37+Optimized!$B$38)</f>
        <v/>
      </c>
      <c r="D9" s="67">
        <f>(((Assumptions!$B$26*(Assumptions!$B$11/D$5))*Assumptions!$B$15/1000+(Assumptions!$B$27+Assumptions!$B$23)*$A9/1000+Assumptions!$B$29)+Baseline!$B$19)-((Optimized!$B$19*$A9)/Optimized!$B$6+Assumptions!$B$37+Optimized!$B$38)</f>
        <v/>
      </c>
      <c r="E9" s="67">
        <f>(((Assumptions!$B$26*(Assumptions!$B$11/E$5))*Assumptions!$B$15/1000+(Assumptions!$B$27+Assumptions!$B$23)*$A9/1000+Assumptions!$B$29)+Baseline!$B$19)-((Optimized!$B$19*$A9)/Optimized!$B$6+Assumptions!$B$37+Optimized!$B$38)</f>
        <v/>
      </c>
      <c r="F9" s="67">
        <f>(((Assumptions!$B$26*(Assumptions!$B$11/F$5))*Assumptions!$B$15/1000+(Assumptions!$B$27+Assumptions!$B$23)*$A9/1000+Assumptions!$B$29)+Baseline!$B$19)-((Optimized!$B$19*$A9)/Optimized!$B$6+Assumptions!$B$37+Optimized!$B$38)</f>
        <v/>
      </c>
      <c r="G9" s="67">
        <f>(((Assumptions!$B$26*(Assumptions!$B$11/G$5))*Assumptions!$B$15/1000+(Assumptions!$B$27+Assumptions!$B$23)*$A9/1000+Assumptions!$B$29)+Baseline!$B$19)-((Optimized!$B$19*$A9)/Optimized!$B$6+Assumptions!$B$37+Optimized!$B$38)</f>
        <v/>
      </c>
    </row>
    <row r="10" ht="15" customHeight="1" s="36">
      <c r="A10" s="66" t="n">
        <v>140</v>
      </c>
      <c r="B10" s="67">
        <f>(((Assumptions!$B$26*(Assumptions!$B$11/B$5))*Assumptions!$B$15/1000+(Assumptions!$B$27+Assumptions!$B$23)*$A10/1000+Assumptions!$B$29)+Baseline!$B$19)-((Optimized!$B$19*$A10)/Optimized!$B$6+Assumptions!$B$37+Optimized!$B$38)</f>
        <v/>
      </c>
      <c r="C10" s="67">
        <f>(((Assumptions!$B$26*(Assumptions!$B$11/C$5))*Assumptions!$B$15/1000+(Assumptions!$B$27+Assumptions!$B$23)*$A10/1000+Assumptions!$B$29)+Baseline!$B$19)-((Optimized!$B$19*$A10)/Optimized!$B$6+Assumptions!$B$37+Optimized!$B$38)</f>
        <v/>
      </c>
      <c r="D10" s="67">
        <f>(((Assumptions!$B$26*(Assumptions!$B$11/D$5))*Assumptions!$B$15/1000+(Assumptions!$B$27+Assumptions!$B$23)*$A10/1000+Assumptions!$B$29)+Baseline!$B$19)-((Optimized!$B$19*$A10)/Optimized!$B$6+Assumptions!$B$37+Optimized!$B$38)</f>
        <v/>
      </c>
      <c r="E10" s="67">
        <f>(((Assumptions!$B$26*(Assumptions!$B$11/E$5))*Assumptions!$B$15/1000+(Assumptions!$B$27+Assumptions!$B$23)*$A10/1000+Assumptions!$B$29)+Baseline!$B$19)-((Optimized!$B$19*$A10)/Optimized!$B$6+Assumptions!$B$37+Optimized!$B$38)</f>
        <v/>
      </c>
      <c r="F10" s="67">
        <f>(((Assumptions!$B$26*(Assumptions!$B$11/F$5))*Assumptions!$B$15/1000+(Assumptions!$B$27+Assumptions!$B$23)*$A10/1000+Assumptions!$B$29)+Baseline!$B$19)-((Optimized!$B$19*$A10)/Optimized!$B$6+Assumptions!$B$37+Optimized!$B$38)</f>
        <v/>
      </c>
      <c r="G10" s="67">
        <f>(((Assumptions!$B$26*(Assumptions!$B$11/G$5))*Assumptions!$B$15/1000+(Assumptions!$B$27+Assumptions!$B$23)*$A10/1000+Assumptions!$B$29)+Baseline!$B$19)-((Optimized!$B$19*$A10)/Optimized!$B$6+Assumptions!$B$37+Optimized!$B$38)</f>
        <v/>
      </c>
    </row>
    <row r="11" ht="15" customHeight="1" s="36">
      <c r="A11" s="66" t="n">
        <v>160</v>
      </c>
      <c r="B11" s="67">
        <f>(((Assumptions!$B$26*(Assumptions!$B$11/B$5))*Assumptions!$B$15/1000+(Assumptions!$B$27+Assumptions!$B$23)*$A11/1000+Assumptions!$B$29)+Baseline!$B$19)-((Optimized!$B$19*$A11)/Optimized!$B$6+Assumptions!$B$37+Optimized!$B$38)</f>
        <v/>
      </c>
      <c r="C11" s="67">
        <f>(((Assumptions!$B$26*(Assumptions!$B$11/C$5))*Assumptions!$B$15/1000+(Assumptions!$B$27+Assumptions!$B$23)*$A11/1000+Assumptions!$B$29)+Baseline!$B$19)-((Optimized!$B$19*$A11)/Optimized!$B$6+Assumptions!$B$37+Optimized!$B$38)</f>
        <v/>
      </c>
      <c r="D11" s="67">
        <f>(((Assumptions!$B$26*(Assumptions!$B$11/D$5))*Assumptions!$B$15/1000+(Assumptions!$B$27+Assumptions!$B$23)*$A11/1000+Assumptions!$B$29)+Baseline!$B$19)-((Optimized!$B$19*$A11)/Optimized!$B$6+Assumptions!$B$37+Optimized!$B$38)</f>
        <v/>
      </c>
      <c r="E11" s="67">
        <f>(((Assumptions!$B$26*(Assumptions!$B$11/E$5))*Assumptions!$B$15/1000+(Assumptions!$B$27+Assumptions!$B$23)*$A11/1000+Assumptions!$B$29)+Baseline!$B$19)-((Optimized!$B$19*$A11)/Optimized!$B$6+Assumptions!$B$37+Optimized!$B$38)</f>
        <v/>
      </c>
      <c r="F11" s="67">
        <f>(((Assumptions!$B$26*(Assumptions!$B$11/F$5))*Assumptions!$B$15/1000+(Assumptions!$B$27+Assumptions!$B$23)*$A11/1000+Assumptions!$B$29)+Baseline!$B$19)-((Optimized!$B$19*$A11)/Optimized!$B$6+Assumptions!$B$37+Optimized!$B$38)</f>
        <v/>
      </c>
      <c r="G11" s="67">
        <f>(((Assumptions!$B$26*(Assumptions!$B$11/G$5))*Assumptions!$B$15/1000+(Assumptions!$B$27+Assumptions!$B$23)*$A11/1000+Assumptions!$B$29)+Baseline!$B$19)-((Optimized!$B$19*$A11)/Optimized!$B$6+Assumptions!$B$37+Optimized!$B$38)</f>
        <v/>
      </c>
    </row>
    <row r="12" ht="15" customHeight="1" s="36">
      <c r="A12" s="66" t="n">
        <v>180</v>
      </c>
      <c r="B12" s="67">
        <f>(((Assumptions!$B$26*(Assumptions!$B$11/B$5))*Assumptions!$B$15/1000+(Assumptions!$B$27+Assumptions!$B$23)*$A12/1000+Assumptions!$B$29)+Baseline!$B$19)-((Optimized!$B$19*$A12)/Optimized!$B$6+Assumptions!$B$37+Optimized!$B$38)</f>
        <v/>
      </c>
      <c r="C12" s="67">
        <f>(((Assumptions!$B$26*(Assumptions!$B$11/C$5))*Assumptions!$B$15/1000+(Assumptions!$B$27+Assumptions!$B$23)*$A12/1000+Assumptions!$B$29)+Baseline!$B$19)-((Optimized!$B$19*$A12)/Optimized!$B$6+Assumptions!$B$37+Optimized!$B$38)</f>
        <v/>
      </c>
      <c r="D12" s="67">
        <f>(((Assumptions!$B$26*(Assumptions!$B$11/D$5))*Assumptions!$B$15/1000+(Assumptions!$B$27+Assumptions!$B$23)*$A12/1000+Assumptions!$B$29)+Baseline!$B$19)-((Optimized!$B$19*$A12)/Optimized!$B$6+Assumptions!$B$37+Optimized!$B$38)</f>
        <v/>
      </c>
      <c r="E12" s="67">
        <f>(((Assumptions!$B$26*(Assumptions!$B$11/E$5))*Assumptions!$B$15/1000+(Assumptions!$B$27+Assumptions!$B$23)*$A12/1000+Assumptions!$B$29)+Baseline!$B$19)-((Optimized!$B$19*$A12)/Optimized!$B$6+Assumptions!$B$37+Optimized!$B$38)</f>
        <v/>
      </c>
      <c r="F12" s="67">
        <f>(((Assumptions!$B$26*(Assumptions!$B$11/F$5))*Assumptions!$B$15/1000+(Assumptions!$B$27+Assumptions!$B$23)*$A12/1000+Assumptions!$B$29)+Baseline!$B$19)-((Optimized!$B$19*$A12)/Optimized!$B$6+Assumptions!$B$37+Optimized!$B$38)</f>
        <v/>
      </c>
      <c r="G12" s="67">
        <f>(((Assumptions!$B$26*(Assumptions!$B$11/G$5))*Assumptions!$B$15/1000+(Assumptions!$B$27+Assumptions!$B$23)*$A12/1000+Assumptions!$B$29)+Baseline!$B$19)-((Optimized!$B$19*$A12)/Optimized!$B$6+Assumptions!$B$37+Optimized!$B$38)</f>
        <v/>
      </c>
    </row>
    <row r="15" ht="15" customHeight="1" s="36">
      <c r="A15" s="42" t="inlineStr">
        <is>
          <t>TABLE 2 — Optimized all-in £/t vs O2 demand ratio and ASU specific energy (robustness check on the least-certain oxy-fuel inputs)</t>
        </is>
      </c>
      <c r="B15" s="43" t="n"/>
      <c r="C15" s="43" t="n"/>
      <c r="D15" s="43" t="n"/>
      <c r="E15" s="43" t="n"/>
      <c r="F15" s="43" t="n"/>
      <c r="G15" s="43" t="n"/>
      <c r="H15" s="43" t="n"/>
    </row>
    <row r="16" ht="15" customHeight="1" s="36">
      <c r="A16" s="41" t="inlineStr">
        <is>
          <t>O2 ratio \ ASU kWh/t</t>
        </is>
      </c>
      <c r="B16" s="68" t="n">
        <v>250</v>
      </c>
      <c r="C16" s="68" t="n">
        <v>300</v>
      </c>
      <c r="D16" s="68" t="n">
        <v>350</v>
      </c>
      <c r="E16" s="68" t="n">
        <v>400</v>
      </c>
      <c r="F16" s="68" t="n">
        <v>450</v>
      </c>
    </row>
    <row r="17" ht="15" customHeight="1" s="36">
      <c r="A17" s="69" t="n">
        <v>0.2</v>
      </c>
      <c r="B17" s="67">
        <f>(((MAX(0,((($A17*B$16)+Assumptions!$B$35+Assumptions!$B$23)*Optimized!$B$6/1000)-Optimized!$B$18)*Assumptions!$B$14)+(Assumptions!$B$37*Optimized!$B$6))/Optimized!$B$6)+(((((Assumptions!$B$34*($A17*Optimized!$B$6))+Optimized!$B$30+Optimized!$B$31+Optimized!$B$32)-Optimized!$B$34)*Optimized!$B$36)/Optimized!$B$6)</f>
        <v/>
      </c>
      <c r="C17" s="67">
        <f>(((MAX(0,((($A17*C$16)+Assumptions!$B$35+Assumptions!$B$23)*Optimized!$B$6/1000)-Optimized!$B$18)*Assumptions!$B$14)+(Assumptions!$B$37*Optimized!$B$6))/Optimized!$B$6)+(((((Assumptions!$B$34*($A17*Optimized!$B$6))+Optimized!$B$30+Optimized!$B$31+Optimized!$B$32)-Optimized!$B$34)*Optimized!$B$36)/Optimized!$B$6)</f>
        <v/>
      </c>
      <c r="D17" s="67">
        <f>(((MAX(0,((($A17*D$16)+Assumptions!$B$35+Assumptions!$B$23)*Optimized!$B$6/1000)-Optimized!$B$18)*Assumptions!$B$14)+(Assumptions!$B$37*Optimized!$B$6))/Optimized!$B$6)+(((((Assumptions!$B$34*($A17*Optimized!$B$6))+Optimized!$B$30+Optimized!$B$31+Optimized!$B$32)-Optimized!$B$34)*Optimized!$B$36)/Optimized!$B$6)</f>
        <v/>
      </c>
      <c r="E17" s="67">
        <f>(((MAX(0,((($A17*E$16)+Assumptions!$B$35+Assumptions!$B$23)*Optimized!$B$6/1000)-Optimized!$B$18)*Assumptions!$B$14)+(Assumptions!$B$37*Optimized!$B$6))/Optimized!$B$6)+(((((Assumptions!$B$34*($A17*Optimized!$B$6))+Optimized!$B$30+Optimized!$B$31+Optimized!$B$32)-Optimized!$B$34)*Optimized!$B$36)/Optimized!$B$6)</f>
        <v/>
      </c>
      <c r="F17" s="67">
        <f>(((MAX(0,((($A17*F$16)+Assumptions!$B$35+Assumptions!$B$23)*Optimized!$B$6/1000)-Optimized!$B$18)*Assumptions!$B$14)+(Assumptions!$B$37*Optimized!$B$6))/Optimized!$B$6)+(((((Assumptions!$B$34*($A17*Optimized!$B$6))+Optimized!$B$30+Optimized!$B$31+Optimized!$B$32)-Optimized!$B$34)*Optimized!$B$36)/Optimized!$B$6)</f>
        <v/>
      </c>
    </row>
    <row r="18" ht="15" customHeight="1" s="36">
      <c r="A18" s="69" t="n">
        <v>0.25</v>
      </c>
      <c r="B18" s="67">
        <f>(((MAX(0,((($A18*B$16)+Assumptions!$B$35+Assumptions!$B$23)*Optimized!$B$6/1000)-Optimized!$B$18)*Assumptions!$B$14)+(Assumptions!$B$37*Optimized!$B$6))/Optimized!$B$6)+(((((Assumptions!$B$34*($A18*Optimized!$B$6))+Optimized!$B$30+Optimized!$B$31+Optimized!$B$32)-Optimized!$B$34)*Optimized!$B$36)/Optimized!$B$6)</f>
        <v/>
      </c>
      <c r="C18" s="67">
        <f>(((MAX(0,((($A18*C$16)+Assumptions!$B$35+Assumptions!$B$23)*Optimized!$B$6/1000)-Optimized!$B$18)*Assumptions!$B$14)+(Assumptions!$B$37*Optimized!$B$6))/Optimized!$B$6)+(((((Assumptions!$B$34*($A18*Optimized!$B$6))+Optimized!$B$30+Optimized!$B$31+Optimized!$B$32)-Optimized!$B$34)*Optimized!$B$36)/Optimized!$B$6)</f>
        <v/>
      </c>
      <c r="D18" s="67">
        <f>(((MAX(0,((($A18*D$16)+Assumptions!$B$35+Assumptions!$B$23)*Optimized!$B$6/1000)-Optimized!$B$18)*Assumptions!$B$14)+(Assumptions!$B$37*Optimized!$B$6))/Optimized!$B$6)+(((((Assumptions!$B$34*($A18*Optimized!$B$6))+Optimized!$B$30+Optimized!$B$31+Optimized!$B$32)-Optimized!$B$34)*Optimized!$B$36)/Optimized!$B$6)</f>
        <v/>
      </c>
      <c r="E18" s="67">
        <f>(((MAX(0,((($A18*E$16)+Assumptions!$B$35+Assumptions!$B$23)*Optimized!$B$6/1000)-Optimized!$B$18)*Assumptions!$B$14)+(Assumptions!$B$37*Optimized!$B$6))/Optimized!$B$6)+(((((Assumptions!$B$34*($A18*Optimized!$B$6))+Optimized!$B$30+Optimized!$B$31+Optimized!$B$32)-Optimized!$B$34)*Optimized!$B$36)/Optimized!$B$6)</f>
        <v/>
      </c>
      <c r="F18" s="67">
        <f>(((MAX(0,((($A18*F$16)+Assumptions!$B$35+Assumptions!$B$23)*Optimized!$B$6/1000)-Optimized!$B$18)*Assumptions!$B$14)+(Assumptions!$B$37*Optimized!$B$6))/Optimized!$B$6)+(((((Assumptions!$B$34*($A18*Optimized!$B$6))+Optimized!$B$30+Optimized!$B$31+Optimized!$B$32)-Optimized!$B$34)*Optimized!$B$36)/Optimized!$B$6)</f>
        <v/>
      </c>
    </row>
    <row r="19" ht="15" customHeight="1" s="36">
      <c r="A19" s="69" t="n">
        <v>0.3</v>
      </c>
      <c r="B19" s="67">
        <f>(((MAX(0,((($A19*B$16)+Assumptions!$B$35+Assumptions!$B$23)*Optimized!$B$6/1000)-Optimized!$B$18)*Assumptions!$B$14)+(Assumptions!$B$37*Optimized!$B$6))/Optimized!$B$6)+(((((Assumptions!$B$34*($A19*Optimized!$B$6))+Optimized!$B$30+Optimized!$B$31+Optimized!$B$32)-Optimized!$B$34)*Optimized!$B$36)/Optimized!$B$6)</f>
        <v/>
      </c>
      <c r="C19" s="67">
        <f>(((MAX(0,((($A19*C$16)+Assumptions!$B$35+Assumptions!$B$23)*Optimized!$B$6/1000)-Optimized!$B$18)*Assumptions!$B$14)+(Assumptions!$B$37*Optimized!$B$6))/Optimized!$B$6)+(((((Assumptions!$B$34*($A19*Optimized!$B$6))+Optimized!$B$30+Optimized!$B$31+Optimized!$B$32)-Optimized!$B$34)*Optimized!$B$36)/Optimized!$B$6)</f>
        <v/>
      </c>
      <c r="D19" s="67">
        <f>(((MAX(0,((($A19*D$16)+Assumptions!$B$35+Assumptions!$B$23)*Optimized!$B$6/1000)-Optimized!$B$18)*Assumptions!$B$14)+(Assumptions!$B$37*Optimized!$B$6))/Optimized!$B$6)+(((((Assumptions!$B$34*($A19*Optimized!$B$6))+Optimized!$B$30+Optimized!$B$31+Optimized!$B$32)-Optimized!$B$34)*Optimized!$B$36)/Optimized!$B$6)</f>
        <v/>
      </c>
      <c r="E19" s="67">
        <f>(((MAX(0,((($A19*E$16)+Assumptions!$B$35+Assumptions!$B$23)*Optimized!$B$6/1000)-Optimized!$B$18)*Assumptions!$B$14)+(Assumptions!$B$37*Optimized!$B$6))/Optimized!$B$6)+(((((Assumptions!$B$34*($A19*Optimized!$B$6))+Optimized!$B$30+Optimized!$B$31+Optimized!$B$32)-Optimized!$B$34)*Optimized!$B$36)/Optimized!$B$6)</f>
        <v/>
      </c>
      <c r="F19" s="67">
        <f>(((MAX(0,((($A19*F$16)+Assumptions!$B$35+Assumptions!$B$23)*Optimized!$B$6/1000)-Optimized!$B$18)*Assumptions!$B$14)+(Assumptions!$B$37*Optimized!$B$6))/Optimized!$B$6)+(((((Assumptions!$B$34*($A19*Optimized!$B$6))+Optimized!$B$30+Optimized!$B$31+Optimized!$B$32)-Optimized!$B$34)*Optimized!$B$36)/Optimized!$B$6)</f>
        <v/>
      </c>
    </row>
    <row r="20" ht="15" customHeight="1" s="36">
      <c r="A20" s="69" t="n">
        <v>0.35</v>
      </c>
      <c r="B20" s="67">
        <f>(((MAX(0,((($A20*B$16)+Assumptions!$B$35+Assumptions!$B$23)*Optimized!$B$6/1000)-Optimized!$B$18)*Assumptions!$B$14)+(Assumptions!$B$37*Optimized!$B$6))/Optimized!$B$6)+(((((Assumptions!$B$34*($A20*Optimized!$B$6))+Optimized!$B$30+Optimized!$B$31+Optimized!$B$32)-Optimized!$B$34)*Optimized!$B$36)/Optimized!$B$6)</f>
        <v/>
      </c>
      <c r="C20" s="67">
        <f>(((MAX(0,((($A20*C$16)+Assumptions!$B$35+Assumptions!$B$23)*Optimized!$B$6/1000)-Optimized!$B$18)*Assumptions!$B$14)+(Assumptions!$B$37*Optimized!$B$6))/Optimized!$B$6)+(((((Assumptions!$B$34*($A20*Optimized!$B$6))+Optimized!$B$30+Optimized!$B$31+Optimized!$B$32)-Optimized!$B$34)*Optimized!$B$36)/Optimized!$B$6)</f>
        <v/>
      </c>
      <c r="D20" s="67">
        <f>(((MAX(0,((($A20*D$16)+Assumptions!$B$35+Assumptions!$B$23)*Optimized!$B$6/1000)-Optimized!$B$18)*Assumptions!$B$14)+(Assumptions!$B$37*Optimized!$B$6))/Optimized!$B$6)+(((((Assumptions!$B$34*($A20*Optimized!$B$6))+Optimized!$B$30+Optimized!$B$31+Optimized!$B$32)-Optimized!$B$34)*Optimized!$B$36)/Optimized!$B$6)</f>
        <v/>
      </c>
      <c r="E20" s="67">
        <f>(((MAX(0,((($A20*E$16)+Assumptions!$B$35+Assumptions!$B$23)*Optimized!$B$6/1000)-Optimized!$B$18)*Assumptions!$B$14)+(Assumptions!$B$37*Optimized!$B$6))/Optimized!$B$6)+(((((Assumptions!$B$34*($A20*Optimized!$B$6))+Optimized!$B$30+Optimized!$B$31+Optimized!$B$32)-Optimized!$B$34)*Optimized!$B$36)/Optimized!$B$6)</f>
        <v/>
      </c>
      <c r="F20" s="67">
        <f>(((MAX(0,((($A20*F$16)+Assumptions!$B$35+Assumptions!$B$23)*Optimized!$B$6/1000)-Optimized!$B$18)*Assumptions!$B$14)+(Assumptions!$B$37*Optimized!$B$6))/Optimized!$B$6)+(((((Assumptions!$B$34*($A20*Optimized!$B$6))+Optimized!$B$30+Optimized!$B$31+Optimized!$B$32)-Optimized!$B$34)*Optimized!$B$36)/Optimized!$B$6)</f>
        <v/>
      </c>
    </row>
    <row r="21" ht="15" customHeight="1" s="36">
      <c r="A21" s="69" t="n">
        <v>0.4</v>
      </c>
      <c r="B21" s="67">
        <f>(((MAX(0,((($A21*B$16)+Assumptions!$B$35+Assumptions!$B$23)*Optimized!$B$6/1000)-Optimized!$B$18)*Assumptions!$B$14)+(Assumptions!$B$37*Optimized!$B$6))/Optimized!$B$6)+(((((Assumptions!$B$34*($A21*Optimized!$B$6))+Optimized!$B$30+Optimized!$B$31+Optimized!$B$32)-Optimized!$B$34)*Optimized!$B$36)/Optimized!$B$6)</f>
        <v/>
      </c>
      <c r="C21" s="67">
        <f>(((MAX(0,((($A21*C$16)+Assumptions!$B$35+Assumptions!$B$23)*Optimized!$B$6/1000)-Optimized!$B$18)*Assumptions!$B$14)+(Assumptions!$B$37*Optimized!$B$6))/Optimized!$B$6)+(((((Assumptions!$B$34*($A21*Optimized!$B$6))+Optimized!$B$30+Optimized!$B$31+Optimized!$B$32)-Optimized!$B$34)*Optimized!$B$36)/Optimized!$B$6)</f>
        <v/>
      </c>
      <c r="D21" s="67">
        <f>(((MAX(0,((($A21*D$16)+Assumptions!$B$35+Assumptions!$B$23)*Optimized!$B$6/1000)-Optimized!$B$18)*Assumptions!$B$14)+(Assumptions!$B$37*Optimized!$B$6))/Optimized!$B$6)+(((((Assumptions!$B$34*($A21*Optimized!$B$6))+Optimized!$B$30+Optimized!$B$31+Optimized!$B$32)-Optimized!$B$34)*Optimized!$B$36)/Optimized!$B$6)</f>
        <v/>
      </c>
      <c r="E21" s="67">
        <f>(((MAX(0,((($A21*E$16)+Assumptions!$B$35+Assumptions!$B$23)*Optimized!$B$6/1000)-Optimized!$B$18)*Assumptions!$B$14)+(Assumptions!$B$37*Optimized!$B$6))/Optimized!$B$6)+(((((Assumptions!$B$34*($A21*Optimized!$B$6))+Optimized!$B$30+Optimized!$B$31+Optimized!$B$32)-Optimized!$B$34)*Optimized!$B$36)/Optimized!$B$6)</f>
        <v/>
      </c>
      <c r="F21" s="67">
        <f>(((MAX(0,((($A21*F$16)+Assumptions!$B$35+Assumptions!$B$23)*Optimized!$B$6/1000)-Optimized!$B$18)*Assumptions!$B$14)+(Assumptions!$B$37*Optimized!$B$6))/Optimized!$B$6)+(((((Assumptions!$B$34*($A21*Optimized!$B$6))+Optimized!$B$30+Optimized!$B$31+Optimized!$B$32)-Optimized!$B$34)*Optimized!$B$36)/Optimized!$B$6)</f>
        <v/>
      </c>
    </row>
    <row r="24" ht="45" customHeight="1" s="36">
      <c r="A24" s="70" t="inlineStr">
        <is>
          <t>Read Table 1 as: darker/lower savings cells (top-right, low tariff + concentrated baseline gas) are where the amine baseline is already fairly cheap — the optimized package still wins on WHR insulation, but by less. Table 2 shows the optimized case's own cost is far more sensitive to the O2 ratio (capex-driving) than to ASU efficiency alone — that mass-balance assumption is the one to pin down first with an engineering study.</t>
        </is>
      </c>
    </row>
  </sheetData>
  <mergeCells count="1">
    <mergeCell ref="A24:H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2026-08-14T11:58:55Z</dcterms:created>
  <dcterms:modified xmlns:dcterms="http://purl.org/dc/terms/" xmlns:xsi="http://www.w3.org/2001/XMLSchema-instance" xsi:type="dcterms:W3CDTF">2026-08-14T13:27:41Z</dcterms:modified>
  <cp:revision>1</cp:revision>
</cp:coreProperties>
</file>